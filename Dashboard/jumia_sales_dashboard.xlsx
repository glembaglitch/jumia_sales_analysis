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pivotTables/pivotTable12.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drawings/drawing1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4.xml" ContentType="application/vnd.openxmlformats-officedocument.drawing+xml"/>
  <Override PartName="/xl/slicers/slicer6.xml" ContentType="application/vnd.ms-excel.slicer+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7.xml" ContentType="application/vnd.openxmlformats-officedocument.spreadsheetml.pivotTable+xml"/>
  <Override PartName="/xl/drawings/drawing15.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8.xml" ContentType="application/vnd.openxmlformats-officedocument.spreadsheetml.pivotTable+xml"/>
  <Override PartName="/xl/drawings/drawing16.xml" ContentType="application/vnd.openxmlformats-officedocument.drawing+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9.xml" ContentType="application/vnd.openxmlformats-officedocument.spreadsheetml.pivotTable+xml"/>
  <Override PartName="/xl/drawings/drawing17.xml" ContentType="application/vnd.openxmlformats-officedocument.drawing+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0.xml" ContentType="application/vnd.openxmlformats-officedocument.spreadsheetml.pivotTable+xml"/>
  <Override PartName="/xl/drawings/drawing18.xml" ContentType="application/vnd.openxmlformats-officedocument.drawing+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21.xml" ContentType="application/vnd.openxmlformats-officedocument.spreadsheetml.pivotTable+xml"/>
  <Override PartName="/xl/drawings/drawing19.xml" ContentType="application/vnd.openxmlformats-officedocument.drawing+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22.xml" ContentType="application/vnd.openxmlformats-officedocument.spreadsheetml.pivotTable+xml"/>
  <Override PartName="/xl/drawings/drawing20.xml" ContentType="application/vnd.openxmlformats-officedocument.drawing+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3.xml" ContentType="application/vnd.openxmlformats-officedocument.spreadsheetml.pivotTable+xml"/>
  <Override PartName="/xl/drawings/drawing21.xml" ContentType="application/vnd.openxmlformats-officedocument.drawing+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Glemba\Desktop\jumia_sales_analysis\Dashboard\"/>
    </mc:Choice>
  </mc:AlternateContent>
  <xr:revisionPtr revIDLastSave="0" documentId="13_ncr:1_{3DDB77DD-F40D-4AEC-8846-C8E52A253F86}" xr6:coauthVersionLast="47" xr6:coauthVersionMax="47" xr10:uidLastSave="{00000000-0000-0000-0000-000000000000}"/>
  <bookViews>
    <workbookView xWindow="-120" yWindow="-120" windowWidth="20730" windowHeight="11040" firstSheet="11" activeTab="16" xr2:uid="{71DF26D4-231C-42C8-9697-2F8148780BD0}"/>
  </bookViews>
  <sheets>
    <sheet name="av rating by discount" sheetId="3" r:id="rId1"/>
    <sheet name=" rating vs prod" sheetId="5" r:id="rId2"/>
    <sheet name="RAT &amp; NUMBEROF REVIEW" sheetId="6" r:id="rId3"/>
    <sheet name="discount vs review" sheetId="7" r:id="rId4"/>
    <sheet name="rate vs review" sheetId="8" r:id="rId5"/>
    <sheet name="Highrateprod vs reviews" sheetId="9" r:id="rId6"/>
    <sheet name="Top prod vs disc" sheetId="15" r:id="rId7"/>
    <sheet name="Top prod vs reviews" sheetId="17" r:id="rId8"/>
    <sheet name="Top 5 rated prod" sheetId="18" r:id="rId9"/>
    <sheet name="Bottom5 rated prod" sheetId="19" r:id="rId10"/>
    <sheet name="disco vs rating vs review" sheetId="20" r:id="rId11"/>
    <sheet name="PT_1" sheetId="22" r:id="rId12"/>
    <sheet name="PT_2" sheetId="23" r:id="rId13"/>
    <sheet name="PT_3" sheetId="24" r:id="rId14"/>
    <sheet name="PT_4" sheetId="25" r:id="rId15"/>
    <sheet name="PT_5" sheetId="26" r:id="rId16"/>
    <sheet name="Dashboard" sheetId="27" r:id="rId17"/>
    <sheet name="PT_6" sheetId="28" r:id="rId18"/>
    <sheet name="PT_7" sheetId="29" r:id="rId19"/>
    <sheet name="PT_8" sheetId="30" r:id="rId20"/>
    <sheet name="PT_9" sheetId="31" r:id="rId21"/>
    <sheet name="PT_10" sheetId="32" r:id="rId22"/>
    <sheet name="PT_11" sheetId="33" r:id="rId23"/>
    <sheet name="PT_12" sheetId="34" r:id="rId24"/>
    <sheet name="jumia_sales" sheetId="1" r:id="rId25"/>
  </sheets>
  <externalReferences>
    <externalReference r:id="rId26"/>
  </externalReferences>
  <definedNames>
    <definedName name="_xlnm._FilterDatabase" localSheetId="24" hidden="1">jumia_sales!$A$1:$H$110</definedName>
    <definedName name="Slicer_Discount">#N/A</definedName>
    <definedName name="Slicer_Discount_category">#N/A</definedName>
    <definedName name="Slicer_Product">#N/A</definedName>
    <definedName name="Slicer_Rating_Category">#N/A</definedName>
    <definedName name="Slicer_Ratingd">#N/A</definedName>
    <definedName name="Slicer_Ratingd1">#N/A</definedName>
    <definedName name="Slicer_Review2">#N/A</definedName>
  </definedNames>
  <calcPr calcId="191029"/>
  <pivotCaches>
    <pivotCache cacheId="11" r:id="rId27"/>
    <pivotCache cacheId="3" r:id="rId28"/>
  </pivotCaches>
  <extLst>
    <ext xmlns:x14="http://schemas.microsoft.com/office/spreadsheetml/2009/9/main" uri="{BBE1A952-AA13-448e-AADC-164F8A28A991}">
      <x14:slicerCaches>
        <x14:slicerCache r:id="rId29"/>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11" i="1" l="1"/>
  <c r="G111" i="1"/>
  <c r="H111" i="1"/>
  <c r="C111" i="1"/>
  <c r="B11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13011F-7DF0-4206-B236-0A698C8CA15E}"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<sst xmlns="http://schemas.openxmlformats.org/spreadsheetml/2006/main" count="343" uniqueCount="147">
  <si>
    <t>Product</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</si>
  <si>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</si>
  <si>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</si>
  <si>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</si>
  <si>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</si>
  <si>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</si>
  <si>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</si>
  <si>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</si>
  <si>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</si>
  <si>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</si>
  <si>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</si>
  <si>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</si>
  <si>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</si>
  <si>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</si>
  <si>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</si>
  <si>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</si>
  <si>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</si>
  <si>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</si>
  <si>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</si>
  <si>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</si>
  <si>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</si>
  <si>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</si>
  <si>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</si>
  <si>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</si>
  <si>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</si>
  <si>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</si>
  <si>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</si>
  <si>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</si>
  <si>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</si>
  <si>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</si>
  <si>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</si>
  <si>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</si>
  <si>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</si>
  <si>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</si>
  <si>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</si>
  <si>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</si>
  <si>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</si>
  <si>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</si>
  <si>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</si>
  <si>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</si>
  <si>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</si>
  <si>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</si>
  <si>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</si>
  <si>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</si>
  <si>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</si>
  <si>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</si>
  <si>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</si>
  <si>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</si>
  <si>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</si>
  <si>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</si>
  <si>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</si>
  <si>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</si>
  <si>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</si>
  <si>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</si>
  <si>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</si>
  <si>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</si>
  <si>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</si>
  <si>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</si>
  <si>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</si>
  <si>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</si>
  <si>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</si>
  <si>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</si>
  <si>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</si>
  <si>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</si>
  <si>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</si>
  <si>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</si>
  <si>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</si>
  <si>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</si>
  <si>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</si>
  <si>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</si>
  <si>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</si>
  <si>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</si>
  <si>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</si>
  <si>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</si>
  <si>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</si>
  <si>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</si>
  <si>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</si>
  <si>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</si>
  <si>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</si>
  <si>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</si>
  <si>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</si>
  <si>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</si>
  <si>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</si>
  <si>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</si>
  <si>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</si>
  <si>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</si>
  <si>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</si>
  <si>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</si>
  <si>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</si>
  <si>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</si>
  <si>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</si>
  <si>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</si>
  <si>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</si>
  <si>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</si>
  <si>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</si>
  <si>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</si>
  <si>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</si>
  <si>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</si>
  <si>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</si>
  <si>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</si>
  <si>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</si>
  <si>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</si>
  <si>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</si>
  <si>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</si>
  <si>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</si>
  <si>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</si>
  <si>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</si>
  <si>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</si>
  <si>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</si>
  <si>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</si>
  <si>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</si>
  <si>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</si>
  <si>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Discount amount(Ksh)</t>
  </si>
  <si>
    <t>Rating Category</t>
  </si>
  <si>
    <t>Discount category</t>
  </si>
  <si>
    <t>TOTAL</t>
  </si>
  <si>
    <t>Row Labels</t>
  </si>
  <si>
    <t>high</t>
  </si>
  <si>
    <t>low</t>
  </si>
  <si>
    <t>medium</t>
  </si>
  <si>
    <t>Grand Total</t>
  </si>
  <si>
    <t>Average of Ratingd</t>
  </si>
  <si>
    <t>Average of Discount</t>
  </si>
  <si>
    <t>average</t>
  </si>
  <si>
    <t>excellent</t>
  </si>
  <si>
    <t>poor</t>
  </si>
  <si>
    <t>0-9</t>
  </si>
  <si>
    <t>10-19</t>
  </si>
  <si>
    <t>20-29</t>
  </si>
  <si>
    <t>30-39</t>
  </si>
  <si>
    <t>40-49</t>
  </si>
  <si>
    <t>50-59</t>
  </si>
  <si>
    <t>60-69</t>
  </si>
  <si>
    <t>Count of Ratingd</t>
  </si>
  <si>
    <t>Count of Product</t>
  </si>
  <si>
    <t>Max of Discount</t>
  </si>
  <si>
    <t>Max of Review</t>
  </si>
  <si>
    <t>Sum of Review</t>
  </si>
  <si>
    <t>Sum of Ratingd</t>
  </si>
  <si>
    <t>Current  Price</t>
  </si>
  <si>
    <t>Old Price</t>
  </si>
  <si>
    <t>Rating</t>
  </si>
  <si>
    <t>Count of Review</t>
  </si>
  <si>
    <t>Average of Review</t>
  </si>
  <si>
    <t>Average of Rating</t>
  </si>
  <si>
    <t>(blank)</t>
  </si>
  <si>
    <t>Sum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</si>
</sst>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9" fontId="0" fillId="0" borderId="0" xfId="0" applyNumberFormat="1"/>
    <xf numFmtId="0" fontId="16" fillId="0" borderId="0" xfId="0" applyFont="1"/>
    <xf numFmtId="1" fontId="16" fillId="0" borderId="0" xfId="0" applyNumberFormat="1" applyFont="1"/>
    <xf numFmtId="1" fontId="0" fillId="0" borderId="0" xfId="0" applyNumberFormat="1"/>
    <xf numFmtId="164" fontId="16" fillId="0" borderId="0" xfId="0" applyNumberFormat="1" applyFont="1"/>
    <xf numFmtId="164" fontId="0" fillId="0" borderId="0" xfId="0" applyNumberFormat="1"/>
    <xf numFmtId="9" fontId="16"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applyAlignment="1">
      <alignment horizontal="left"/>
    </xf>
    <xf numFmtId="2" fontId="0" fillId="0" borderId="0" xfId="0" applyNumberFormat="1"/>
    <xf numFmtId="0" fontId="0" fillId="0" borderId="0" xfId="0" applyNumberFormat="1"/>
    <xf numFmtId="9"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4" formatCode="0.0"/>
    </dxf>
    <dxf>
      <numFmt numFmtId="1" formatCode="0"/>
    </dxf>
    <dxf>
      <numFmt numFmtId="13" formatCode="0%"/>
    </dxf>
    <dxf>
      <numFmt numFmtId="13" formatCode="0%"/>
    </dxf>
    <dxf>
      <numFmt numFmtId="1" formatCode="0"/>
    </dxf>
    <dxf>
      <numFmt numFmtId="1" formatCode="0"/>
    </dxf>
    <dxf>
      <numFmt numFmtId="1" formatCode="0"/>
    </dxf>
    <dxf>
      <font>
        <color rgb="FF9C0006"/>
      </font>
      <fill>
        <patternFill>
          <bgColor rgb="FFFFC7CE"/>
        </patternFill>
      </fill>
    </dxf>
    <dxf>
      <font>
        <color rgb="FF006100"/>
      </font>
      <fill>
        <patternFill>
          <bgColor rgb="FFC6EFCE"/>
        </patternFill>
      </fil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sharedStrings" Target="sharedStrings.xml"/><Relationship Id="rId21" Type="http://schemas.openxmlformats.org/officeDocument/2006/relationships/worksheet" Target="worksheets/sheet21.xml"/><Relationship Id="rId34" Type="http://schemas.microsoft.com/office/2007/relationships/slicerCache" Target="slicerCaches/slicerCache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1.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4.xml"/><Relationship Id="rId37" Type="http://schemas.openxmlformats.org/officeDocument/2006/relationships/connections" Target="connection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microsoft.com/office/2007/relationships/slicerCache" Target="slicerCaches/slicerCache2.xml"/><Relationship Id="rId35" Type="http://schemas.microsoft.com/office/2007/relationships/slicerCache" Target="slicerCaches/slicerCache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5.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[jumia_sales_dashboard.xlsx]RAT &amp; NUMBEROF REVIEW!PivotTable4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a:solidFill>
                  <a:schemeClr val="accent2"/>
                </a:solidFill>
              </a:rPr>
              <a:t>RATING VS REVIEWS</a:t>
            </a:r>
          </a:p>
        </c:rich>
      </c:tx>
      <c:layout>
        <c:manualLayout>
          <c:xMode val="edge"/>
          <c:yMode val="edge"/>
          <c:x val="0.33587489063867015"/>
          <c:y val="8.0302939231832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14260717410326E-2"/>
          <c:y val="0.25865522018081066"/>
          <c:w val="0.79912270341207348"/>
          <c:h val="0.53774387576552929"/>
        </c:manualLayout>
      </c:layout>
      <c:barChart>
        <c:barDir val="col"/>
        <c:grouping val="clustered"/>
        <c:varyColors val="0"/>
        <c:ser>
          <c:idx val="0"/>
          <c:order val="0"/>
          <c:tx>
            <c:strRef>
              <c:f>'RAT &amp; NUMBEROF REVIEW'!$B$3</c:f>
              <c:strCache>
                <c:ptCount val="1"/>
                <c:pt idx="0">
                  <c:v>Total</c:v>
                </c:pt>
              </c:strCache>
            </c:strRef>
          </c:tx>
          <c:spPr>
            <a:solidFill>
              <a:schemeClr val="accent5"/>
            </a:solidFill>
            <a:ln>
              <a:noFill/>
            </a:ln>
            <a:effectLst/>
          </c:spPr>
          <c:invertIfNegative val="0"/>
          <c:cat>
            <c:strRef>
              <c:f>'RAT &amp; NUMBEROF REVIEW'!$A$4:$A$10</c:f>
              <c:strCache>
                <c:ptCount val="6"/>
                <c:pt idx="0">
                  <c:v>10-19</c:v>
                </c:pt>
                <c:pt idx="1">
                  <c:v>20-29</c:v>
                </c:pt>
                <c:pt idx="2">
                  <c:v>30-39</c:v>
                </c:pt>
                <c:pt idx="3">
                  <c:v>40-49</c:v>
                </c:pt>
                <c:pt idx="4">
                  <c:v>50-59</c:v>
                </c:pt>
                <c:pt idx="5">
                  <c:v>60-69</c:v>
                </c:pt>
              </c:strCache>
            </c:strRef>
          </c:cat>
          <c:val>
            <c:numRef>
              <c:f>'RAT &amp; NUMBEROF REVIEW'!$B$4:$B$10</c:f>
              <c:numCache>
                <c:formatCode>General</c:formatCode>
                <c:ptCount val="6"/>
                <c:pt idx="0">
                  <c:v>3.1999999999999997</c:v>
                </c:pt>
                <c:pt idx="1">
                  <c:v>4.5999999999999996</c:v>
                </c:pt>
                <c:pt idx="2">
                  <c:v>4.5</c:v>
                </c:pt>
                <c:pt idx="3">
                  <c:v>4.5999999999999996</c:v>
                </c:pt>
                <c:pt idx="4">
                  <c:v>4.5999999999999996</c:v>
                </c:pt>
                <c:pt idx="5">
                  <c:v>2.8</c:v>
                </c:pt>
              </c:numCache>
            </c:numRef>
          </c:val>
          <c:extLst>
            <c:ext xmlns:c16="http://schemas.microsoft.com/office/drawing/2014/chart" uri="{C3380CC4-5D6E-409C-BE32-E72D297353CC}">
              <c16:uniqueId val="{00000000-A1AD-4E16-A20F-5BC122A4E215}"/>
            </c:ext>
          </c:extLst>
        </c:ser>
        <c:dLbls>
          <c:showLegendKey val="0"/>
          <c:showVal val="0"/>
          <c:showCatName val="0"/>
          <c:showSerName val="0"/>
          <c:showPercent val="0"/>
          <c:showBubbleSize val="0"/>
        </c:dLbls>
        <c:gapWidth val="219"/>
        <c:overlap val="-27"/>
        <c:axId val="845937871"/>
        <c:axId val="845934511"/>
      </c:barChart>
      <c:catAx>
        <c:axId val="84593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45934511"/>
        <c:crosses val="autoZero"/>
        <c:auto val="1"/>
        <c:lblAlgn val="ctr"/>
        <c:lblOffset val="100"/>
        <c:noMultiLvlLbl val="0"/>
      </c:catAx>
      <c:valAx>
        <c:axId val="84593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4593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[jumia_sales_dashboard.xlsx]discount vs review!PivotTable5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DISCOUNT</a:t>
            </a:r>
            <a:r>
              <a:rPr lang="en-US" baseline="0">
                <a:solidFill>
                  <a:schemeClr val="accent2"/>
                </a:solidFill>
              </a:rPr>
              <a:t> PERCENTAGE VS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review'!$B$3</c:f>
              <c:strCache>
                <c:ptCount val="1"/>
                <c:pt idx="0">
                  <c:v>Total</c:v>
                </c:pt>
              </c:strCache>
            </c:strRef>
          </c:tx>
          <c:spPr>
            <a:solidFill>
              <a:schemeClr val="accent5"/>
            </a:solidFill>
            <a:ln>
              <a:noFill/>
            </a:ln>
            <a:effectLst/>
          </c:spPr>
          <c:invertIfNegative val="0"/>
          <c:cat>
            <c:strRef>
              <c:f>'discount vs review'!$A$4:$A$10</c:f>
              <c:strCache>
                <c:ptCount val="6"/>
                <c:pt idx="0">
                  <c:v>10-19</c:v>
                </c:pt>
                <c:pt idx="1">
                  <c:v>20-29</c:v>
                </c:pt>
                <c:pt idx="2">
                  <c:v>30-39</c:v>
                </c:pt>
                <c:pt idx="3">
                  <c:v>40-49</c:v>
                </c:pt>
                <c:pt idx="4">
                  <c:v>50-59</c:v>
                </c:pt>
                <c:pt idx="5">
                  <c:v>60-69</c:v>
                </c:pt>
              </c:strCache>
            </c:strRef>
          </c:cat>
          <c:val>
            <c:numRef>
              <c:f>'discount vs review'!$B$4:$B$10</c:f>
              <c:numCache>
                <c:formatCode>0%</c:formatCode>
                <c:ptCount val="6"/>
                <c:pt idx="0">
                  <c:v>0.27666666666666667</c:v>
                </c:pt>
                <c:pt idx="1">
                  <c:v>0.25</c:v>
                </c:pt>
                <c:pt idx="2">
                  <c:v>0.375</c:v>
                </c:pt>
                <c:pt idx="3">
                  <c:v>0.42</c:v>
                </c:pt>
                <c:pt idx="4">
                  <c:v>0.24</c:v>
                </c:pt>
                <c:pt idx="5">
                  <c:v>0.49</c:v>
                </c:pt>
              </c:numCache>
            </c:numRef>
          </c:val>
          <c:extLst>
            <c:ext xmlns:c16="http://schemas.microsoft.com/office/drawing/2014/chart" uri="{C3380CC4-5D6E-409C-BE32-E72D297353CC}">
              <c16:uniqueId val="{00000000-B2F8-4DCE-914E-6BC6AD4F0412}"/>
            </c:ext>
          </c:extLst>
        </c:ser>
        <c:dLbls>
          <c:showLegendKey val="0"/>
          <c:showVal val="0"/>
          <c:showCatName val="0"/>
          <c:showSerName val="0"/>
          <c:showPercent val="0"/>
          <c:showBubbleSize val="0"/>
        </c:dLbls>
        <c:gapWidth val="219"/>
        <c:overlap val="-27"/>
        <c:axId val="425986911"/>
        <c:axId val="425971551"/>
      </c:barChart>
      <c:catAx>
        <c:axId val="42598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25971551"/>
        <c:crosses val="autoZero"/>
        <c:auto val="1"/>
        <c:lblAlgn val="ctr"/>
        <c:lblOffset val="100"/>
        <c:noMultiLvlLbl val="0"/>
      </c:catAx>
      <c:valAx>
        <c:axId val="425971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2598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Discount</a:t>
            </a:r>
            <a:r>
              <a:rPr lang="en-US" b="1" baseline="0">
                <a:solidFill>
                  <a:schemeClr val="accent2"/>
                </a:solidFill>
              </a:rPr>
              <a:t> percentage and no. of reviews relationship</a:t>
            </a:r>
            <a:endParaRPr lang="en-US" b="1">
              <a:solidFill>
                <a:schemeClr val="accent2"/>
              </a:solidFill>
            </a:endParaRPr>
          </a:p>
        </c:rich>
      </c:tx>
      <c:layout>
        <c:manualLayout>
          <c:xMode val="edge"/>
          <c:yMode val="edge"/>
          <c:x val="0.1708401137357830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6.5358705161854769E-2"/>
          <c:y val="0.27398148148148149"/>
          <c:w val="0.86859273840769902"/>
          <c:h val="0.64176727909011377"/>
        </c:manualLayout>
      </c:layout>
      <c:scatterChart>
        <c:scatterStyle val="lineMarker"/>
        <c:varyColors val="0"/>
        <c:ser>
          <c:idx val="0"/>
          <c:order val="0"/>
          <c:tx>
            <c:strRef>
              <c:f>jumia_sales!$G$1</c:f>
              <c:strCache>
                <c:ptCount val="1"/>
                <c:pt idx="0">
                  <c:v>Review</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jumia_sales!$E$2:$E$116</c:f>
              <c:numCache>
                <c:formatCode>0%</c:formatCode>
                <c:ptCount val="115"/>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0.13</c:v>
                </c:pt>
                <c:pt idx="59">
                  <c:v>0.54</c:v>
                </c:pt>
                <c:pt idx="60">
                  <c:v>0.55000000000000004</c:v>
                </c:pt>
                <c:pt idx="61">
                  <c:v>0.49</c:v>
                </c:pt>
                <c:pt idx="62">
                  <c:v>0.52</c:v>
                </c:pt>
                <c:pt idx="63">
                  <c:v>0.22</c:v>
                </c:pt>
                <c:pt idx="64">
                  <c:v>0.45</c:v>
                </c:pt>
                <c:pt idx="65">
                  <c:v>0.5</c:v>
                </c:pt>
                <c:pt idx="66">
                  <c:v>0.39</c:v>
                </c:pt>
                <c:pt idx="67">
                  <c:v>0.45</c:v>
                </c:pt>
                <c:pt idx="68">
                  <c:v>0.28999999999999998</c:v>
                </c:pt>
                <c:pt idx="69">
                  <c:v>0.43</c:v>
                </c:pt>
                <c:pt idx="70">
                  <c:v>0.43</c:v>
                </c:pt>
                <c:pt idx="71">
                  <c:v>0.47</c:v>
                </c:pt>
                <c:pt idx="72">
                  <c:v>0.47</c:v>
                </c:pt>
                <c:pt idx="73">
                  <c:v>0.47</c:v>
                </c:pt>
                <c:pt idx="74">
                  <c:v>0.43</c:v>
                </c:pt>
                <c:pt idx="75">
                  <c:v>0.04</c:v>
                </c:pt>
                <c:pt idx="76">
                  <c:v>0.49</c:v>
                </c:pt>
                <c:pt idx="77">
                  <c:v>0.46</c:v>
                </c:pt>
                <c:pt idx="78">
                  <c:v>0.49</c:v>
                </c:pt>
                <c:pt idx="79">
                  <c:v>0.36</c:v>
                </c:pt>
                <c:pt idx="80">
                  <c:v>0.02</c:v>
                </c:pt>
                <c:pt idx="81">
                  <c:v>0.49</c:v>
                </c:pt>
                <c:pt idx="82">
                  <c:v>0.14000000000000001</c:v>
                </c:pt>
                <c:pt idx="83">
                  <c:v>0.49</c:v>
                </c:pt>
                <c:pt idx="84">
                  <c:v>0.11</c:v>
                </c:pt>
                <c:pt idx="85">
                  <c:v>0.14000000000000001</c:v>
                </c:pt>
                <c:pt idx="86">
                  <c:v>0.43</c:v>
                </c:pt>
                <c:pt idx="87">
                  <c:v>0.5</c:v>
                </c:pt>
                <c:pt idx="88">
                  <c:v>0.48</c:v>
                </c:pt>
                <c:pt idx="89">
                  <c:v>0.48</c:v>
                </c:pt>
                <c:pt idx="90">
                  <c:v>0.47</c:v>
                </c:pt>
                <c:pt idx="91">
                  <c:v>0.5</c:v>
                </c:pt>
                <c:pt idx="92">
                  <c:v>0.08</c:v>
                </c:pt>
                <c:pt idx="93">
                  <c:v>0.02</c:v>
                </c:pt>
                <c:pt idx="94">
                  <c:v>0.49</c:v>
                </c:pt>
                <c:pt idx="95">
                  <c:v>0.04</c:v>
                </c:pt>
                <c:pt idx="96">
                  <c:v>0.49</c:v>
                </c:pt>
                <c:pt idx="97">
                  <c:v>0.42</c:v>
                </c:pt>
                <c:pt idx="98">
                  <c:v>0.21</c:v>
                </c:pt>
                <c:pt idx="99">
                  <c:v>0.41</c:v>
                </c:pt>
                <c:pt idx="100">
                  <c:v>0.01</c:v>
                </c:pt>
                <c:pt idx="101">
                  <c:v>0.24</c:v>
                </c:pt>
                <c:pt idx="102">
                  <c:v>0.34</c:v>
                </c:pt>
                <c:pt idx="103">
                  <c:v>0.34</c:v>
                </c:pt>
                <c:pt idx="104">
                  <c:v>0.02</c:v>
                </c:pt>
                <c:pt idx="105">
                  <c:v>0.02</c:v>
                </c:pt>
                <c:pt idx="106">
                  <c:v>0.64</c:v>
                </c:pt>
                <c:pt idx="107">
                  <c:v>0.5</c:v>
                </c:pt>
                <c:pt idx="108">
                  <c:v>0.47</c:v>
                </c:pt>
                <c:pt idx="109">
                  <c:v>0.36385321100917423</c:v>
                </c:pt>
              </c:numCache>
            </c:numRef>
          </c:xVal>
          <c:yVal>
            <c:numRef>
              <c:f>jumia_sales!$G$2:$G$116</c:f>
              <c:numCache>
                <c:formatCode>0</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6</c:v>
                </c:pt>
                <c:pt idx="59">
                  <c:v>10</c:v>
                </c:pt>
                <c:pt idx="60">
                  <c:v>13</c:v>
                </c:pt>
                <c:pt idx="61">
                  <c:v>69</c:v>
                </c:pt>
                <c:pt idx="62">
                  <c:v>15</c:v>
                </c:pt>
                <c:pt idx="63">
                  <c:v>16</c:v>
                </c:pt>
                <c:pt idx="64">
                  <c:v>6</c:v>
                </c:pt>
                <c:pt idx="65">
                  <c:v>7</c:v>
                </c:pt>
                <c:pt idx="66">
                  <c:v>5</c:v>
                </c:pt>
                <c:pt idx="67">
                  <c:v>17</c:v>
                </c:pt>
                <c:pt idx="68">
                  <c:v>5</c:v>
                </c:pt>
                <c:pt idx="69">
                  <c:v>6</c:v>
                </c:pt>
                <c:pt idx="70">
                  <c:v>5</c:v>
                </c:pt>
                <c:pt idx="71">
                  <c:v>6</c:v>
                </c:pt>
                <c:pt idx="72">
                  <c:v>7</c:v>
                </c:pt>
                <c:pt idx="73">
                  <c:v>0</c:v>
                </c:pt>
                <c:pt idx="74">
                  <c:v>0</c:v>
                </c:pt>
                <c:pt idx="75">
                  <c:v>0</c:v>
                </c:pt>
                <c:pt idx="76">
                  <c:v>0</c:v>
                </c:pt>
                <c:pt idx="77">
                  <c:v>1</c:v>
                </c:pt>
                <c:pt idx="78">
                  <c:v>1</c:v>
                </c:pt>
                <c:pt idx="79">
                  <c:v>0</c:v>
                </c:pt>
                <c:pt idx="80">
                  <c:v>0</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1</c:v>
                </c:pt>
                <c:pt idx="99">
                  <c:v>0</c:v>
                </c:pt>
                <c:pt idx="100">
                  <c:v>0</c:v>
                </c:pt>
                <c:pt idx="101">
                  <c:v>0</c:v>
                </c:pt>
                <c:pt idx="102">
                  <c:v>0</c:v>
                </c:pt>
                <c:pt idx="103">
                  <c:v>0</c:v>
                </c:pt>
                <c:pt idx="104">
                  <c:v>0</c:v>
                </c:pt>
                <c:pt idx="105">
                  <c:v>0</c:v>
                </c:pt>
                <c:pt idx="106">
                  <c:v>0</c:v>
                </c:pt>
                <c:pt idx="107">
                  <c:v>1</c:v>
                </c:pt>
                <c:pt idx="108">
                  <c:v>0</c:v>
                </c:pt>
                <c:pt idx="109">
                  <c:v>723</c:v>
                </c:pt>
              </c:numCache>
            </c:numRef>
          </c:yVal>
          <c:smooth val="0"/>
          <c:extLst>
            <c:ext xmlns:c16="http://schemas.microsoft.com/office/drawing/2014/chart" uri="{C3380CC4-5D6E-409C-BE32-E72D297353CC}">
              <c16:uniqueId val="{00000001-40B6-48A1-B62F-E14F8AD0F7F8}"/>
            </c:ext>
          </c:extLst>
        </c:ser>
        <c:dLbls>
          <c:showLegendKey val="0"/>
          <c:showVal val="0"/>
          <c:showCatName val="0"/>
          <c:showSerName val="0"/>
          <c:showPercent val="0"/>
          <c:showBubbleSize val="0"/>
        </c:dLbls>
        <c:axId val="321425184"/>
        <c:axId val="321426144"/>
      </c:scatterChart>
      <c:valAx>
        <c:axId val="321425184"/>
        <c:scaling>
          <c:orientation val="minMax"/>
        </c:scaling>
        <c:delete val="0"/>
        <c:axPos val="b"/>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21426144"/>
        <c:crosses val="autoZero"/>
        <c:crossBetween val="midCat"/>
      </c:valAx>
      <c:valAx>
        <c:axId val="321426144"/>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214251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[jumia_sales_dashboard.xlsx]Top prod vs disc!PivotTable2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products with highest discounts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 vs disc'!$B$3</c:f>
              <c:strCache>
                <c:ptCount val="1"/>
                <c:pt idx="0">
                  <c:v>Total</c:v>
                </c:pt>
              </c:strCache>
            </c:strRef>
          </c:tx>
          <c:spPr>
            <a:solidFill>
              <a:schemeClr val="accent1"/>
            </a:solidFill>
            <a:ln>
              <a:noFill/>
            </a:ln>
            <a:effectLst/>
          </c:spPr>
          <c:invertIfNegative val="0"/>
          <c:cat>
            <c:strRef>
              <c:f>'Top prod vs disc'!$A$4:$A$14</c:f>
              <c:strCache>
                <c:ptCount val="10"/>
                <c:pt idx="0">
                  <c:v>100 Pcs Crochet Hook Tool Set Knitting Hook Set With Box</c:v>
                </c:pt>
                <c:pt idx="1">
                  <c:v>120W Cordless Vacuum Cleaners Handheld Electric Vacuum Cleaner</c:v>
                </c:pt>
                <c:pt idx="2">
                  <c:v>137 Pieces Cake Decorating Tool Set Baking Supplies</c:v>
                </c:pt>
                <c:pt idx="3">
                  <c:v>220V 60W Electric Soldering Iron Kits With Tools, Tips, And Multimeter</c:v>
                </c:pt>
                <c:pt idx="4">
                  <c:v>3D Waterproof EVA Plastic Shower Curtain 1.8*2Mtrs</c:v>
                </c:pt>
                <c:pt idx="5">
                  <c:v>Electronic Digital Display Vernier Caliper</c:v>
                </c:pt>
                <c:pt idx="6">
                  <c:v>Intelligent  LED Body Sensor Wireless Lighting Night Light USB</c:v>
                </c:pt>
                <c:pt idx="7">
                  <c:v>Portable Mini Cordless Car Vacuum Cleaner - Blue</c:v>
                </c:pt>
                <c:pt idx="8">
                  <c:v>Punch-free Great Load Bearing Bathroom Storage Rack Wall Shelf-White</c:v>
                </c:pt>
                <c:pt idx="9">
                  <c:v>VIC Wireless Vacuum Cleaner Dual Use For Home And Car 120W High Power Powerful</c:v>
                </c:pt>
              </c:strCache>
            </c:strRef>
          </c:cat>
          <c:val>
            <c:numRef>
              <c:f>'Top prod vs disc'!$B$4:$B$14</c:f>
              <c:numCache>
                <c:formatCode>0%</c:formatCode>
                <c:ptCount val="10"/>
                <c:pt idx="0">
                  <c:v>0.34</c:v>
                </c:pt>
                <c:pt idx="1">
                  <c:v>0.49</c:v>
                </c:pt>
                <c:pt idx="2">
                  <c:v>0.24</c:v>
                </c:pt>
                <c:pt idx="3">
                  <c:v>0.09</c:v>
                </c:pt>
                <c:pt idx="4">
                  <c:v>0.49</c:v>
                </c:pt>
                <c:pt idx="5">
                  <c:v>0.35</c:v>
                </c:pt>
                <c:pt idx="6">
                  <c:v>0.52</c:v>
                </c:pt>
                <c:pt idx="7">
                  <c:v>0.25</c:v>
                </c:pt>
                <c:pt idx="8">
                  <c:v>0.41</c:v>
                </c:pt>
                <c:pt idx="9">
                  <c:v>0.22</c:v>
                </c:pt>
              </c:numCache>
            </c:numRef>
          </c:val>
          <c:extLst>
            <c:ext xmlns:c16="http://schemas.microsoft.com/office/drawing/2014/chart" uri="{C3380CC4-5D6E-409C-BE32-E72D297353CC}">
              <c16:uniqueId val="{00000000-4F24-46DB-846B-0FFDB6B2B8E0}"/>
            </c:ext>
          </c:extLst>
        </c:ser>
        <c:dLbls>
          <c:showLegendKey val="0"/>
          <c:showVal val="0"/>
          <c:showCatName val="0"/>
          <c:showSerName val="0"/>
          <c:showPercent val="0"/>
          <c:showBubbleSize val="0"/>
        </c:dLbls>
        <c:gapWidth val="182"/>
        <c:axId val="1580464592"/>
        <c:axId val="1120391088"/>
      </c:barChart>
      <c:catAx>
        <c:axId val="158046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20391088"/>
        <c:crosses val="autoZero"/>
        <c:auto val="1"/>
        <c:lblAlgn val="ctr"/>
        <c:lblOffset val="100"/>
        <c:noMultiLvlLbl val="0"/>
      </c:catAx>
      <c:valAx>
        <c:axId val="11203910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8046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[jumia_sales_dashboard.xlsx]Top prod vs reviews!PivotTable4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products with most reviews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 vs reviews'!$B$3</c:f>
              <c:strCache>
                <c:ptCount val="1"/>
                <c:pt idx="0">
                  <c:v>Total</c:v>
                </c:pt>
              </c:strCache>
            </c:strRef>
          </c:tx>
          <c:spPr>
            <a:solidFill>
              <a:schemeClr val="accent1"/>
            </a:solidFill>
            <a:ln>
              <a:noFill/>
            </a:ln>
            <a:effectLst/>
          </c:spPr>
          <c:invertIfNegative val="0"/>
          <c:cat>
            <c:strRef>
              <c:f>'Top prod vs reviews'!$A$4:$A$14</c:f>
              <c:strCache>
                <c:ptCount val="10"/>
                <c:pt idx="0">
                  <c:v>100 Pcs Crochet Hook Tool Set Knitting Hook Set With Box</c:v>
                </c:pt>
                <c:pt idx="1">
                  <c:v>120W Cordless Vacuum Cleaners Handheld Electric Vacuum Cleaner</c:v>
                </c:pt>
                <c:pt idx="2">
                  <c:v>137 Pieces Cake Decorating Tool Set Baking Supplies</c:v>
                </c:pt>
                <c:pt idx="3">
                  <c:v>220V 60W Electric Soldering Iron Kits With Tools, Tips, And Multimeter</c:v>
                </c:pt>
                <c:pt idx="4">
                  <c:v>3D Waterproof EVA Plastic Shower Curtain 1.8*2Mtrs</c:v>
                </c:pt>
                <c:pt idx="5">
                  <c:v>Electronic Digital Display Vernier Caliper</c:v>
                </c:pt>
                <c:pt idx="6">
                  <c:v>Intelligent  LED Body Sensor Wireless Lighting Night Light USB</c:v>
                </c:pt>
                <c:pt idx="7">
                  <c:v>Portable Mini Cordless Car Vacuum Cleaner - Blue</c:v>
                </c:pt>
                <c:pt idx="8">
                  <c:v>Punch-free Great Load Bearing Bathroom Storage Rack Wall Shelf-White</c:v>
                </c:pt>
                <c:pt idx="9">
                  <c:v>VIC Wireless Vacuum Cleaner Dual Use For Home And Car 120W High Power Powerful</c:v>
                </c:pt>
              </c:strCache>
            </c:strRef>
          </c:cat>
          <c:val>
            <c:numRef>
              <c:f>'Top prod vs reviews'!$B$4:$B$14</c:f>
              <c:numCache>
                <c:formatCode>0</c:formatCode>
                <c:ptCount val="10"/>
                <c:pt idx="0">
                  <c:v>39</c:v>
                </c:pt>
                <c:pt idx="1">
                  <c:v>69</c:v>
                </c:pt>
                <c:pt idx="2">
                  <c:v>55</c:v>
                </c:pt>
                <c:pt idx="3">
                  <c:v>15</c:v>
                </c:pt>
                <c:pt idx="4">
                  <c:v>44</c:v>
                </c:pt>
                <c:pt idx="5">
                  <c:v>49</c:v>
                </c:pt>
                <c:pt idx="6">
                  <c:v>15</c:v>
                </c:pt>
                <c:pt idx="7">
                  <c:v>24</c:v>
                </c:pt>
                <c:pt idx="8">
                  <c:v>36</c:v>
                </c:pt>
                <c:pt idx="9">
                  <c:v>16</c:v>
                </c:pt>
              </c:numCache>
            </c:numRef>
          </c:val>
          <c:extLst>
            <c:ext xmlns:c16="http://schemas.microsoft.com/office/drawing/2014/chart" uri="{C3380CC4-5D6E-409C-BE32-E72D297353CC}">
              <c16:uniqueId val="{00000000-3573-48C4-A5D8-A08BE890AEBF}"/>
            </c:ext>
          </c:extLst>
        </c:ser>
        <c:dLbls>
          <c:showLegendKey val="0"/>
          <c:showVal val="0"/>
          <c:showCatName val="0"/>
          <c:showSerName val="0"/>
          <c:showPercent val="0"/>
          <c:showBubbleSize val="0"/>
        </c:dLbls>
        <c:gapWidth val="182"/>
        <c:axId val="1566778448"/>
        <c:axId val="1566778928"/>
      </c:barChart>
      <c:catAx>
        <c:axId val="156677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6778928"/>
        <c:crosses val="autoZero"/>
        <c:auto val="1"/>
        <c:lblAlgn val="ctr"/>
        <c:lblOffset val="100"/>
        <c:noMultiLvlLbl val="0"/>
      </c:catAx>
      <c:valAx>
        <c:axId val="15667789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677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[jumia_sales_dashboard.xlsx]Top 5 rated prod!PivotTable5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5 rated products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rated prod'!$B$3</c:f>
              <c:strCache>
                <c:ptCount val="1"/>
                <c:pt idx="0">
                  <c:v>Total</c:v>
                </c:pt>
              </c:strCache>
            </c:strRef>
          </c:tx>
          <c:spPr>
            <a:solidFill>
              <a:schemeClr val="accent1"/>
            </a:solidFill>
            <a:ln>
              <a:noFill/>
            </a:ln>
            <a:effectLst/>
          </c:spPr>
          <c:invertIfNegative val="0"/>
          <c:cat>
            <c:strRef>
              <c:f>'Top 5 rated prod'!$A$4:$A$14</c:f>
              <c:strCache>
                <c:ptCount val="10"/>
                <c:pt idx="0">
                  <c:v>VIC Wireless Vacuum Cleaner Dual Use For Home And Car 120W High Power Powerful</c:v>
                </c:pt>
                <c:pt idx="1">
                  <c:v>Punch-free Great Load Bearing Bathroom Storage Rack Wall Shelf-White</c:v>
                </c:pt>
                <c:pt idx="2">
                  <c:v>Portable Mini Cordless Car Vacuum Cleaner - Blue</c:v>
                </c:pt>
                <c:pt idx="3">
                  <c:v>Intelligent  LED Body Sensor Wireless Lighting Night Light USB</c:v>
                </c:pt>
                <c:pt idx="4">
                  <c:v>Electronic Digital Display Vernier Caliper</c:v>
                </c:pt>
                <c:pt idx="5">
                  <c:v>3D Waterproof EVA Plastic Shower Curtain 1.8*2Mtrs</c:v>
                </c:pt>
                <c:pt idx="6">
                  <c:v>220V 60W Electric Soldering Iron Kits With Tools, Tips, And Multimeter</c:v>
                </c:pt>
                <c:pt idx="7">
                  <c:v>137 Pieces Cake Decorating Tool Set Baking Supplies</c:v>
                </c:pt>
                <c:pt idx="8">
                  <c:v>120W Cordless Vacuum Cleaners Handheld Electric Vacuum Cleaner</c:v>
                </c:pt>
                <c:pt idx="9">
                  <c:v>100 Pcs Crochet Hook Tool Set Knitting Hook Set With Box</c:v>
                </c:pt>
              </c:strCache>
            </c:strRef>
          </c:cat>
          <c:val>
            <c:numRef>
              <c:f>'Top 5 rated prod'!$B$4:$B$14</c:f>
              <c:numCache>
                <c:formatCode>General</c:formatCode>
                <c:ptCount val="10"/>
                <c:pt idx="0">
                  <c:v>2.9</c:v>
                </c:pt>
                <c:pt idx="1">
                  <c:v>4.3</c:v>
                </c:pt>
                <c:pt idx="2">
                  <c:v>4.5999999999999996</c:v>
                </c:pt>
                <c:pt idx="3">
                  <c:v>2.7</c:v>
                </c:pt>
                <c:pt idx="4">
                  <c:v>4.5999999999999996</c:v>
                </c:pt>
                <c:pt idx="5">
                  <c:v>4.5999999999999996</c:v>
                </c:pt>
                <c:pt idx="6">
                  <c:v>4</c:v>
                </c:pt>
                <c:pt idx="7">
                  <c:v>4.5999999999999996</c:v>
                </c:pt>
                <c:pt idx="8">
                  <c:v>2.8</c:v>
                </c:pt>
                <c:pt idx="9">
                  <c:v>4.7</c:v>
                </c:pt>
              </c:numCache>
            </c:numRef>
          </c:val>
          <c:extLst>
            <c:ext xmlns:c16="http://schemas.microsoft.com/office/drawing/2014/chart" uri="{C3380CC4-5D6E-409C-BE32-E72D297353CC}">
              <c16:uniqueId val="{00000000-673F-41F3-9B75-844FD4C167D3}"/>
            </c:ext>
          </c:extLst>
        </c:ser>
        <c:dLbls>
          <c:showLegendKey val="0"/>
          <c:showVal val="0"/>
          <c:showCatName val="0"/>
          <c:showSerName val="0"/>
          <c:showPercent val="0"/>
          <c:showBubbleSize val="0"/>
        </c:dLbls>
        <c:gapWidth val="182"/>
        <c:axId val="1608805008"/>
        <c:axId val="1608805488"/>
      </c:barChart>
      <c:catAx>
        <c:axId val="160880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08805488"/>
        <c:crosses val="autoZero"/>
        <c:auto val="1"/>
        <c:lblAlgn val="ctr"/>
        <c:lblOffset val="100"/>
        <c:noMultiLvlLbl val="0"/>
      </c:catAx>
      <c:valAx>
        <c:axId val="160880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0880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Product</a:t>
            </a:r>
            <a:r>
              <a:rPr lang="en-US" b="1" baseline="0">
                <a:solidFill>
                  <a:srgbClr val="002060"/>
                </a:solidFill>
              </a:rPr>
              <a:t> Count by Rating Category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PT_1!$B$3</c:f>
              <c:strCache>
                <c:ptCount val="1"/>
                <c:pt idx="0">
                  <c:v>Total</c:v>
                </c:pt>
              </c:strCache>
            </c:strRef>
          </c:tx>
          <c:spPr>
            <a:solidFill>
              <a:schemeClr val="accent2"/>
            </a:solidFill>
            <a:ln>
              <a:noFill/>
            </a:ln>
            <a:effectLst/>
          </c:spPr>
          <c:invertIfNegative val="0"/>
          <c:cat>
            <c:strRef>
              <c:f>PT_1!$A$4:$A$7</c:f>
              <c:strCache>
                <c:ptCount val="3"/>
                <c:pt idx="0">
                  <c:v>average</c:v>
                </c:pt>
                <c:pt idx="1">
                  <c:v>excellent</c:v>
                </c:pt>
                <c:pt idx="2">
                  <c:v>poor</c:v>
                </c:pt>
              </c:strCache>
            </c:strRef>
          </c:cat>
          <c:val>
            <c:numRef>
              <c:f>PT_1!$B$4:$B$7</c:f>
              <c:numCache>
                <c:formatCode>General</c:formatCode>
                <c:ptCount val="3"/>
                <c:pt idx="0">
                  <c:v>2</c:v>
                </c:pt>
                <c:pt idx="1">
                  <c:v>5</c:v>
                </c:pt>
                <c:pt idx="2">
                  <c:v>3</c:v>
                </c:pt>
              </c:numCache>
            </c:numRef>
          </c:val>
          <c:extLst>
            <c:ext xmlns:c16="http://schemas.microsoft.com/office/drawing/2014/chart" uri="{C3380CC4-5D6E-409C-BE32-E72D297353CC}">
              <c16:uniqueId val="{00000000-454E-4382-B2F0-48E00214F3BB}"/>
            </c:ext>
          </c:extLst>
        </c:ser>
        <c:dLbls>
          <c:showLegendKey val="0"/>
          <c:showVal val="0"/>
          <c:showCatName val="0"/>
          <c:showSerName val="0"/>
          <c:showPercent val="0"/>
          <c:showBubbleSize val="0"/>
        </c:dLbls>
        <c:gapWidth val="150"/>
        <c:axId val="1569076239"/>
        <c:axId val="1569077071"/>
      </c:barChart>
      <c:catAx>
        <c:axId val="156907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9077071"/>
        <c:crosses val="autoZero"/>
        <c:auto val="1"/>
        <c:lblAlgn val="ctr"/>
        <c:lblOffset val="100"/>
        <c:noMultiLvlLbl val="0"/>
      </c:catAx>
      <c:valAx>
        <c:axId val="156907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907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[jumia_sales_dashboard.xlsx]PT_2!PivotTable2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Product</a:t>
            </a:r>
            <a:r>
              <a:rPr lang="en-US" b="1" baseline="0">
                <a:solidFill>
                  <a:srgbClr val="002060"/>
                </a:solidFill>
              </a:rPr>
              <a:t> Count by Discount Category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PT_2!$B$3</c:f>
              <c:strCache>
                <c:ptCount val="1"/>
                <c:pt idx="0">
                  <c:v>Total</c:v>
                </c:pt>
              </c:strCache>
            </c:strRef>
          </c:tx>
          <c:spPr>
            <a:solidFill>
              <a:schemeClr val="accent2"/>
            </a:solidFill>
            <a:ln w="19050">
              <a:solidFill>
                <a:schemeClr val="lt1"/>
              </a:solidFill>
            </a:ln>
            <a:effectLst/>
          </c:spPr>
          <c:invertIfNegative val="0"/>
          <c:cat>
            <c:strRef>
              <c:f>PT_2!$A$4:$A$7</c:f>
              <c:strCache>
                <c:ptCount val="3"/>
                <c:pt idx="0">
                  <c:v>high</c:v>
                </c:pt>
                <c:pt idx="1">
                  <c:v>low</c:v>
                </c:pt>
                <c:pt idx="2">
                  <c:v>medium</c:v>
                </c:pt>
              </c:strCache>
            </c:strRef>
          </c:cat>
          <c:val>
            <c:numRef>
              <c:f>PT_2!$B$4:$B$7</c:f>
              <c:numCache>
                <c:formatCode>General</c:formatCode>
                <c:ptCount val="3"/>
                <c:pt idx="0">
                  <c:v>59</c:v>
                </c:pt>
                <c:pt idx="1">
                  <c:v>18</c:v>
                </c:pt>
                <c:pt idx="2">
                  <c:v>32</c:v>
                </c:pt>
              </c:numCache>
            </c:numRef>
          </c:val>
          <c:extLst>
            <c:ext xmlns:c16="http://schemas.microsoft.com/office/drawing/2014/chart" uri="{C3380CC4-5D6E-409C-BE32-E72D297353CC}">
              <c16:uniqueId val="{00000000-FB04-4AF9-911D-72ABE741600E}"/>
            </c:ext>
          </c:extLst>
        </c:ser>
        <c:dLbls>
          <c:showLegendKey val="0"/>
          <c:showVal val="0"/>
          <c:showCatName val="0"/>
          <c:showSerName val="0"/>
          <c:showPercent val="0"/>
          <c:showBubbleSize val="0"/>
        </c:dLbls>
        <c:gapWidth val="150"/>
        <c:axId val="1569098703"/>
        <c:axId val="1569098287"/>
      </c:barChart>
      <c:catAx>
        <c:axId val="1569098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9098287"/>
        <c:crosses val="autoZero"/>
        <c:auto val="1"/>
        <c:lblAlgn val="ctr"/>
        <c:lblOffset val="100"/>
        <c:noMultiLvlLbl val="0"/>
      </c:catAx>
      <c:valAx>
        <c:axId val="156909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909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[jumia_sales_dashboard.xlsx]PT_3!PivotTable3</c:name>
    <c:fmtId val="4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PT_3!$B$3</c:f>
              <c:strCache>
                <c:ptCount val="1"/>
                <c:pt idx="0">
                  <c:v>Average of Rating</c:v>
                </c:pt>
              </c:strCache>
            </c:strRef>
          </c:tx>
          <c:spPr>
            <a:solidFill>
              <a:schemeClr val="accent1"/>
            </a:solidFill>
            <a:ln>
              <a:noFill/>
            </a:ln>
            <a:effectLst/>
          </c:spPr>
          <c:invertIfNegative val="0"/>
          <c:cat>
            <c:strRef>
              <c:f>PT_3!$A$4:$A$7</c:f>
              <c:strCache>
                <c:ptCount val="3"/>
                <c:pt idx="0">
                  <c:v>high</c:v>
                </c:pt>
                <c:pt idx="1">
                  <c:v>low</c:v>
                </c:pt>
                <c:pt idx="2">
                  <c:v>medium</c:v>
                </c:pt>
              </c:strCache>
            </c:strRef>
          </c:cat>
          <c:val>
            <c:numRef>
              <c:f>PT_3!$B$4:$B$7</c:f>
              <c:numCache>
                <c:formatCode>General</c:formatCode>
                <c:ptCount val="3"/>
                <c:pt idx="0">
                  <c:v>1.8689655172413788</c:v>
                </c:pt>
                <c:pt idx="1">
                  <c:v>0.82777777777777772</c:v>
                </c:pt>
                <c:pt idx="2">
                  <c:v>3.0750000000000006</c:v>
                </c:pt>
              </c:numCache>
            </c:numRef>
          </c:val>
          <c:extLst>
            <c:ext xmlns:c16="http://schemas.microsoft.com/office/drawing/2014/chart" uri="{C3380CC4-5D6E-409C-BE32-E72D297353CC}">
              <c16:uniqueId val="{00000000-9B1B-438F-87BF-D4F877E0C78A}"/>
            </c:ext>
          </c:extLst>
        </c:ser>
        <c:ser>
          <c:idx val="1"/>
          <c:order val="1"/>
          <c:tx>
            <c:strRef>
              <c:f>PT_3!$C$3</c:f>
              <c:strCache>
                <c:ptCount val="1"/>
                <c:pt idx="0">
                  <c:v>Average of Review</c:v>
                </c:pt>
              </c:strCache>
            </c:strRef>
          </c:tx>
          <c:spPr>
            <a:solidFill>
              <a:schemeClr val="accent2"/>
            </a:solidFill>
            <a:ln>
              <a:noFill/>
            </a:ln>
            <a:effectLst/>
          </c:spPr>
          <c:invertIfNegative val="0"/>
          <c:cat>
            <c:strRef>
              <c:f>PT_3!$A$4:$A$7</c:f>
              <c:strCache>
                <c:ptCount val="3"/>
                <c:pt idx="0">
                  <c:v>high</c:v>
                </c:pt>
                <c:pt idx="1">
                  <c:v>low</c:v>
                </c:pt>
                <c:pt idx="2">
                  <c:v>medium</c:v>
                </c:pt>
              </c:strCache>
            </c:strRef>
          </c:cat>
          <c:val>
            <c:numRef>
              <c:f>PT_3!$C$4:$C$7</c:f>
              <c:numCache>
                <c:formatCode>General</c:formatCode>
                <c:ptCount val="3"/>
                <c:pt idx="0">
                  <c:v>5.6610169491525424</c:v>
                </c:pt>
                <c:pt idx="1">
                  <c:v>2.1111111111111112</c:v>
                </c:pt>
                <c:pt idx="2">
                  <c:v>10.96875</c:v>
                </c:pt>
              </c:numCache>
            </c:numRef>
          </c:val>
          <c:extLst>
            <c:ext xmlns:c16="http://schemas.microsoft.com/office/drawing/2014/chart" uri="{C3380CC4-5D6E-409C-BE32-E72D297353CC}">
              <c16:uniqueId val="{00000001-9B1B-438F-87BF-D4F877E0C78A}"/>
            </c:ext>
          </c:extLst>
        </c:ser>
        <c:dLbls>
          <c:showLegendKey val="0"/>
          <c:showVal val="0"/>
          <c:showCatName val="0"/>
          <c:showSerName val="0"/>
          <c:showPercent val="0"/>
          <c:showBubbleSize val="0"/>
        </c:dLbls>
        <c:gapWidth val="150"/>
        <c:axId val="833970799"/>
        <c:axId val="833971631"/>
      </c:barChart>
      <c:catAx>
        <c:axId val="83397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3971631"/>
        <c:crosses val="autoZero"/>
        <c:auto val="1"/>
        <c:lblAlgn val="ctr"/>
        <c:lblOffset val="100"/>
        <c:noMultiLvlLbl val="0"/>
      </c:catAx>
      <c:valAx>
        <c:axId val="83397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397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[jumia_sales_dashboard.xlsx]PT_4!PivotTable18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Average of Discount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PT_4!$B$3</c:f>
              <c:strCache>
                <c:ptCount val="1"/>
                <c:pt idx="0">
                  <c:v>Total</c:v>
                </c:pt>
              </c:strCache>
            </c:strRef>
          </c:tx>
          <c:spPr>
            <a:solidFill>
              <a:schemeClr val="accent2"/>
            </a:solidFill>
            <a:ln>
              <a:noFill/>
            </a:ln>
            <a:effectLst/>
          </c:spPr>
          <c:invertIfNegative val="0"/>
          <c:cat>
            <c:strRef>
              <c:f>PT_4!$A$4:$A$6</c:f>
              <c:strCache>
                <c:ptCount val="3"/>
                <c:pt idx="0">
                  <c:v>average</c:v>
                </c:pt>
                <c:pt idx="1">
                  <c:v>excellent</c:v>
                </c:pt>
                <c:pt idx="2">
                  <c:v>poor</c:v>
                </c:pt>
              </c:strCache>
            </c:strRef>
          </c:cat>
          <c:val>
            <c:numRef>
              <c:f>PT_4!$B$4:$B$6</c:f>
              <c:numCache>
                <c:formatCode>General</c:formatCode>
                <c:ptCount val="3"/>
                <c:pt idx="0">
                  <c:v>0.38045454545454549</c:v>
                </c:pt>
                <c:pt idx="1">
                  <c:v>0.3765217391304348</c:v>
                </c:pt>
                <c:pt idx="2">
                  <c:v>0.35359374999999987</c:v>
                </c:pt>
              </c:numCache>
            </c:numRef>
          </c:val>
          <c:extLst>
            <c:ext xmlns:c16="http://schemas.microsoft.com/office/drawing/2014/chart" uri="{C3380CC4-5D6E-409C-BE32-E72D297353CC}">
              <c16:uniqueId val="{00000000-4ADC-4B57-A733-1CC667B23C4F}"/>
            </c:ext>
          </c:extLst>
        </c:ser>
        <c:dLbls>
          <c:showLegendKey val="0"/>
          <c:showVal val="0"/>
          <c:showCatName val="0"/>
          <c:showSerName val="0"/>
          <c:showPercent val="0"/>
          <c:showBubbleSize val="0"/>
        </c:dLbls>
        <c:gapWidth val="219"/>
        <c:overlap val="-27"/>
        <c:axId val="1574730143"/>
        <c:axId val="1574718911"/>
      </c:barChart>
      <c:catAx>
        <c:axId val="157473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74718911"/>
        <c:crosses val="autoZero"/>
        <c:auto val="1"/>
        <c:lblAlgn val="ctr"/>
        <c:lblOffset val="100"/>
        <c:noMultiLvlLbl val="0"/>
      </c:catAx>
      <c:valAx>
        <c:axId val="157471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74730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[jumia_sales_dashboard.xlsx]PT_5!PivotTable19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Review</a:t>
            </a:r>
            <a:r>
              <a:rPr lang="en-US" b="1" baseline="0">
                <a:solidFill>
                  <a:srgbClr val="002060"/>
                </a:solidFill>
              </a:rPr>
              <a:t> Count by Discount</a:t>
            </a:r>
            <a:endParaRPr lang="en-US" b="1">
              <a:solidFill>
                <a:srgbClr val="002060"/>
              </a:solidFill>
            </a:endParaRPr>
          </a:p>
        </c:rich>
      </c:tx>
      <c:layout>
        <c:manualLayout>
          <c:xMode val="edge"/>
          <c:yMode val="edge"/>
          <c:x val="0.2865345581802274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PT_5!$B$3</c:f>
              <c:strCache>
                <c:ptCount val="1"/>
                <c:pt idx="0">
                  <c:v>Total</c:v>
                </c:pt>
              </c:strCache>
            </c:strRef>
          </c:tx>
          <c:spPr>
            <a:ln w="28575" cap="rnd">
              <a:solidFill>
                <a:schemeClr val="accent1"/>
              </a:solidFill>
              <a:round/>
            </a:ln>
            <a:effectLst/>
          </c:spPr>
          <c:marker>
            <c:symbol val="none"/>
          </c:marker>
          <c:cat>
            <c:strRef>
              <c:f>PT_5!$A$4:$A$50</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PT_5!$B$4:$B$50</c:f>
              <c:numCache>
                <c:formatCode>General</c:formatCode>
                <c:ptCount val="46"/>
                <c:pt idx="0">
                  <c:v>1</c:v>
                </c:pt>
                <c:pt idx="1">
                  <c:v>6</c:v>
                </c:pt>
                <c:pt idx="2">
                  <c:v>1</c:v>
                </c:pt>
                <c:pt idx="3">
                  <c:v>2</c:v>
                </c:pt>
                <c:pt idx="4">
                  <c:v>1</c:v>
                </c:pt>
                <c:pt idx="5">
                  <c:v>1</c:v>
                </c:pt>
                <c:pt idx="6">
                  <c:v>1</c:v>
                </c:pt>
                <c:pt idx="7">
                  <c:v>1</c:v>
                </c:pt>
                <c:pt idx="8">
                  <c:v>2</c:v>
                </c:pt>
                <c:pt idx="9">
                  <c:v>1</c:v>
                </c:pt>
                <c:pt idx="10">
                  <c:v>1</c:v>
                </c:pt>
                <c:pt idx="11">
                  <c:v>1</c:v>
                </c:pt>
                <c:pt idx="12">
                  <c:v>1</c:v>
                </c:pt>
                <c:pt idx="13">
                  <c:v>2</c:v>
                </c:pt>
                <c:pt idx="14">
                  <c:v>1</c:v>
                </c:pt>
                <c:pt idx="15">
                  <c:v>2</c:v>
                </c:pt>
                <c:pt idx="16">
                  <c:v>1</c:v>
                </c:pt>
                <c:pt idx="17">
                  <c:v>1</c:v>
                </c:pt>
                <c:pt idx="18">
                  <c:v>3</c:v>
                </c:pt>
                <c:pt idx="19">
                  <c:v>1</c:v>
                </c:pt>
                <c:pt idx="20">
                  <c:v>1</c:v>
                </c:pt>
                <c:pt idx="21">
                  <c:v>1</c:v>
                </c:pt>
                <c:pt idx="22">
                  <c:v>2</c:v>
                </c:pt>
                <c:pt idx="23">
                  <c:v>4</c:v>
                </c:pt>
                <c:pt idx="24">
                  <c:v>2</c:v>
                </c:pt>
                <c:pt idx="25">
                  <c:v>1</c:v>
                </c:pt>
                <c:pt idx="26">
                  <c:v>2</c:v>
                </c:pt>
                <c:pt idx="27">
                  <c:v>4</c:v>
                </c:pt>
                <c:pt idx="28">
                  <c:v>1</c:v>
                </c:pt>
                <c:pt idx="29">
                  <c:v>1</c:v>
                </c:pt>
                <c:pt idx="30">
                  <c:v>3</c:v>
                </c:pt>
                <c:pt idx="31">
                  <c:v>4</c:v>
                </c:pt>
                <c:pt idx="32">
                  <c:v>4</c:v>
                </c:pt>
                <c:pt idx="33">
                  <c:v>4</c:v>
                </c:pt>
                <c:pt idx="34">
                  <c:v>3</c:v>
                </c:pt>
                <c:pt idx="35">
                  <c:v>7</c:v>
                </c:pt>
                <c:pt idx="36">
                  <c:v>4</c:v>
                </c:pt>
                <c:pt idx="37">
                  <c:v>12</c:v>
                </c:pt>
                <c:pt idx="38">
                  <c:v>7</c:v>
                </c:pt>
                <c:pt idx="39">
                  <c:v>1</c:v>
                </c:pt>
                <c:pt idx="40">
                  <c:v>2</c:v>
                </c:pt>
                <c:pt idx="41">
                  <c:v>2</c:v>
                </c:pt>
                <c:pt idx="42">
                  <c:v>2</c:v>
                </c:pt>
                <c:pt idx="43">
                  <c:v>2</c:v>
                </c:pt>
                <c:pt idx="44">
                  <c:v>1</c:v>
                </c:pt>
                <c:pt idx="45">
                  <c:v>1</c:v>
                </c:pt>
              </c:numCache>
            </c:numRef>
          </c:val>
          <c:smooth val="0"/>
          <c:extLst>
            <c:ext xmlns:c16="http://schemas.microsoft.com/office/drawing/2014/chart" uri="{C3380CC4-5D6E-409C-BE32-E72D297353CC}">
              <c16:uniqueId val="{00000003-A6F7-4823-BD1F-AD6F5A14C9FC}"/>
            </c:ext>
          </c:extLst>
        </c:ser>
        <c:dLbls>
          <c:showLegendKey val="0"/>
          <c:showVal val="0"/>
          <c:showCatName val="0"/>
          <c:showSerName val="0"/>
          <c:showPercent val="0"/>
          <c:showBubbleSize val="0"/>
        </c:dLbls>
        <c:smooth val="0"/>
        <c:axId val="257362751"/>
        <c:axId val="257366911"/>
      </c:lineChart>
      <c:catAx>
        <c:axId val="25736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7366911"/>
        <c:crosses val="autoZero"/>
        <c:auto val="1"/>
        <c:lblAlgn val="ctr"/>
        <c:lblOffset val="100"/>
        <c:noMultiLvlLbl val="0"/>
      </c:catAx>
      <c:valAx>
        <c:axId val="25736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736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[jumia_sales_dashboard.xlsx]PT_1!PivotTable1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Product Count by Rating Category</a:t>
            </a:r>
          </a:p>
        </c:rich>
      </c:tx>
      <c:overlay val="0"/>
      <c:spPr>
        <a:noFill/>
        <a:ln>
          <a:noFill/>
        </a:ln>
        <a:effectLst/>
      </c:spPr>
    </c:title>
    <c:autoTitleDeleted val="0"/>
    <c:pivotFmts>
      <c:pivotFmt>
        <c:idx val="0"/>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PT_1!$B$3</c:f>
              <c:strCache>
                <c:ptCount val="1"/>
                <c:pt idx="0">
                  <c:v>Total</c:v>
                </c:pt>
              </c:strCache>
            </c:strRef>
          </c:tx>
          <c:spPr>
            <a:solidFill>
              <a:schemeClr val="accent6">
                <a:lumMod val="75000"/>
              </a:schemeClr>
            </a:solidFill>
            <a:ln w="19050">
              <a:solidFill>
                <a:schemeClr val="lt1"/>
              </a:solidFill>
            </a:ln>
            <a:effectLst/>
          </c:spPr>
          <c:invertIfNegative val="0"/>
          <c:cat>
            <c:strRef>
              <c:f>PT_1!$A$4:$A$7</c:f>
              <c:strCache>
                <c:ptCount val="3"/>
                <c:pt idx="0">
                  <c:v>average</c:v>
                </c:pt>
                <c:pt idx="1">
                  <c:v>excellent</c:v>
                </c:pt>
                <c:pt idx="2">
                  <c:v>poor</c:v>
                </c:pt>
              </c:strCache>
            </c:strRef>
          </c:cat>
          <c:val>
            <c:numRef>
              <c:f>PT_1!$B$4:$B$7</c:f>
              <c:numCache>
                <c:formatCode>General</c:formatCode>
                <c:ptCount val="3"/>
                <c:pt idx="0">
                  <c:v>2</c:v>
                </c:pt>
                <c:pt idx="1">
                  <c:v>5</c:v>
                </c:pt>
                <c:pt idx="2">
                  <c:v>3</c:v>
                </c:pt>
              </c:numCache>
            </c:numRef>
          </c:val>
          <c:extLst>
            <c:ext xmlns:c16="http://schemas.microsoft.com/office/drawing/2014/chart" uri="{C3380CC4-5D6E-409C-BE32-E72D297353CC}">
              <c16:uniqueId val="{00000003-82BE-4E0F-AC70-0E7ACD6C8341}"/>
            </c:ext>
          </c:extLst>
        </c:ser>
        <c:dLbls>
          <c:showLegendKey val="0"/>
          <c:showVal val="0"/>
          <c:showCatName val="0"/>
          <c:showSerName val="0"/>
          <c:showPercent val="0"/>
          <c:showBubbleSize val="0"/>
        </c:dLbls>
        <c:gapWidth val="150"/>
        <c:axId val="1569098703"/>
        <c:axId val="1569098287"/>
      </c:barChart>
      <c:catAx>
        <c:axId val="1569098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9098287"/>
        <c:crosses val="autoZero"/>
        <c:auto val="1"/>
        <c:lblAlgn val="ctr"/>
        <c:lblOffset val="100"/>
        <c:noMultiLvlLbl val="0"/>
      </c:catAx>
      <c:valAx>
        <c:axId val="156909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909870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chart>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[jumia_sales_dashboard.xlsx]PT_2!PivotTable2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Product</a:t>
            </a:r>
            <a:r>
              <a:rPr lang="en-US" b="1" baseline="0">
                <a:solidFill>
                  <a:srgbClr val="002060"/>
                </a:solidFill>
              </a:rPr>
              <a:t> Count by Discount Category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PT_2!$B$3</c:f>
              <c:strCache>
                <c:ptCount val="1"/>
                <c:pt idx="0">
                  <c:v>Total</c:v>
                </c:pt>
              </c:strCache>
            </c:strRef>
          </c:tx>
          <c:spPr>
            <a:solidFill>
              <a:schemeClr val="accent6">
                <a:lumMod val="75000"/>
              </a:schemeClr>
            </a:solidFill>
            <a:ln w="19050">
              <a:solidFill>
                <a:schemeClr val="lt1"/>
              </a:solidFill>
            </a:ln>
            <a:effectLst/>
          </c:spPr>
          <c:invertIfNegative val="0"/>
          <c:cat>
            <c:strRef>
              <c:f>PT_2!$A$4:$A$7</c:f>
              <c:strCache>
                <c:ptCount val="3"/>
                <c:pt idx="0">
                  <c:v>high</c:v>
                </c:pt>
                <c:pt idx="1">
                  <c:v>low</c:v>
                </c:pt>
                <c:pt idx="2">
                  <c:v>medium</c:v>
                </c:pt>
              </c:strCache>
            </c:strRef>
          </c:cat>
          <c:val>
            <c:numRef>
              <c:f>PT_2!$B$4:$B$7</c:f>
              <c:numCache>
                <c:formatCode>General</c:formatCode>
                <c:ptCount val="3"/>
                <c:pt idx="0">
                  <c:v>59</c:v>
                </c:pt>
                <c:pt idx="1">
                  <c:v>18</c:v>
                </c:pt>
                <c:pt idx="2">
                  <c:v>32</c:v>
                </c:pt>
              </c:numCache>
            </c:numRef>
          </c:val>
          <c:extLst>
            <c:ext xmlns:c16="http://schemas.microsoft.com/office/drawing/2014/chart" uri="{C3380CC4-5D6E-409C-BE32-E72D297353CC}">
              <c16:uniqueId val="{00000000-B6DE-4EB3-A2AB-52189A0EDBF2}"/>
            </c:ext>
          </c:extLst>
        </c:ser>
        <c:dLbls>
          <c:showLegendKey val="0"/>
          <c:showVal val="0"/>
          <c:showCatName val="0"/>
          <c:showSerName val="0"/>
          <c:showPercent val="0"/>
          <c:showBubbleSize val="0"/>
        </c:dLbls>
        <c:gapWidth val="150"/>
        <c:axId val="1569098703"/>
        <c:axId val="1569098287"/>
      </c:barChart>
      <c:catAx>
        <c:axId val="1569098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9098287"/>
        <c:crosses val="autoZero"/>
        <c:auto val="1"/>
        <c:lblAlgn val="ctr"/>
        <c:lblOffset val="100"/>
        <c:noMultiLvlLbl val="0"/>
      </c:catAx>
      <c:valAx>
        <c:axId val="156909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909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[jumia_sales_dashboard.xlsx]PT_3!PivotTable3</c:name>
    <c:fmtId val="4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PT_3!$B$3</c:f>
              <c:strCache>
                <c:ptCount val="1"/>
                <c:pt idx="0">
                  <c:v>Average of Rating</c:v>
                </c:pt>
              </c:strCache>
            </c:strRef>
          </c:tx>
          <c:spPr>
            <a:solidFill>
              <a:schemeClr val="accent6">
                <a:lumMod val="60000"/>
                <a:lumOff val="40000"/>
              </a:schemeClr>
            </a:solidFill>
            <a:ln>
              <a:noFill/>
            </a:ln>
            <a:effectLst/>
          </c:spPr>
          <c:invertIfNegative val="0"/>
          <c:cat>
            <c:strRef>
              <c:f>PT_3!$A$4:$A$7</c:f>
              <c:strCache>
                <c:ptCount val="3"/>
                <c:pt idx="0">
                  <c:v>high</c:v>
                </c:pt>
                <c:pt idx="1">
                  <c:v>low</c:v>
                </c:pt>
                <c:pt idx="2">
                  <c:v>medium</c:v>
                </c:pt>
              </c:strCache>
            </c:strRef>
          </c:cat>
          <c:val>
            <c:numRef>
              <c:f>PT_3!$B$4:$B$7</c:f>
              <c:numCache>
                <c:formatCode>General</c:formatCode>
                <c:ptCount val="3"/>
                <c:pt idx="0">
                  <c:v>1.8689655172413788</c:v>
                </c:pt>
                <c:pt idx="1">
                  <c:v>0.82777777777777772</c:v>
                </c:pt>
                <c:pt idx="2">
                  <c:v>3.0750000000000006</c:v>
                </c:pt>
              </c:numCache>
            </c:numRef>
          </c:val>
          <c:extLst>
            <c:ext xmlns:c16="http://schemas.microsoft.com/office/drawing/2014/chart" uri="{C3380CC4-5D6E-409C-BE32-E72D297353CC}">
              <c16:uniqueId val="{00000000-ED40-4562-9248-6D02D2336376}"/>
            </c:ext>
          </c:extLst>
        </c:ser>
        <c:ser>
          <c:idx val="1"/>
          <c:order val="1"/>
          <c:tx>
            <c:strRef>
              <c:f>PT_3!$C$3</c:f>
              <c:strCache>
                <c:ptCount val="1"/>
                <c:pt idx="0">
                  <c:v>Average of Review</c:v>
                </c:pt>
              </c:strCache>
            </c:strRef>
          </c:tx>
          <c:spPr>
            <a:solidFill>
              <a:schemeClr val="accent6">
                <a:lumMod val="75000"/>
              </a:schemeClr>
            </a:solidFill>
            <a:ln>
              <a:noFill/>
            </a:ln>
            <a:effectLst/>
          </c:spPr>
          <c:invertIfNegative val="0"/>
          <c:cat>
            <c:strRef>
              <c:f>PT_3!$A$4:$A$7</c:f>
              <c:strCache>
                <c:ptCount val="3"/>
                <c:pt idx="0">
                  <c:v>high</c:v>
                </c:pt>
                <c:pt idx="1">
                  <c:v>low</c:v>
                </c:pt>
                <c:pt idx="2">
                  <c:v>medium</c:v>
                </c:pt>
              </c:strCache>
            </c:strRef>
          </c:cat>
          <c:val>
            <c:numRef>
              <c:f>PT_3!$C$4:$C$7</c:f>
              <c:numCache>
                <c:formatCode>General</c:formatCode>
                <c:ptCount val="3"/>
                <c:pt idx="0">
                  <c:v>5.6610169491525424</c:v>
                </c:pt>
                <c:pt idx="1">
                  <c:v>2.1111111111111112</c:v>
                </c:pt>
                <c:pt idx="2">
                  <c:v>10.96875</c:v>
                </c:pt>
              </c:numCache>
            </c:numRef>
          </c:val>
          <c:extLst>
            <c:ext xmlns:c16="http://schemas.microsoft.com/office/drawing/2014/chart" uri="{C3380CC4-5D6E-409C-BE32-E72D297353CC}">
              <c16:uniqueId val="{00000001-ED40-4562-9248-6D02D2336376}"/>
            </c:ext>
          </c:extLst>
        </c:ser>
        <c:dLbls>
          <c:showLegendKey val="0"/>
          <c:showVal val="0"/>
          <c:showCatName val="0"/>
          <c:showSerName val="0"/>
          <c:showPercent val="0"/>
          <c:showBubbleSize val="0"/>
        </c:dLbls>
        <c:gapWidth val="150"/>
        <c:axId val="833970799"/>
        <c:axId val="833971631"/>
      </c:barChart>
      <c:catAx>
        <c:axId val="83397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3971631"/>
        <c:crosses val="autoZero"/>
        <c:auto val="1"/>
        <c:lblAlgn val="ctr"/>
        <c:lblOffset val="100"/>
        <c:noMultiLvlLbl val="0"/>
      </c:catAx>
      <c:valAx>
        <c:axId val="83397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397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[jumia_sales_dashboard.xlsx]PT_4!PivotTable18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Average  Discount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PT_4!$B$3</c:f>
              <c:strCache>
                <c:ptCount val="1"/>
                <c:pt idx="0">
                  <c:v>Total</c:v>
                </c:pt>
              </c:strCache>
            </c:strRef>
          </c:tx>
          <c:spPr>
            <a:solidFill>
              <a:schemeClr val="accent6">
                <a:lumMod val="75000"/>
              </a:schemeClr>
            </a:solidFill>
            <a:ln>
              <a:noFill/>
            </a:ln>
            <a:effectLst/>
          </c:spPr>
          <c:invertIfNegative val="0"/>
          <c:cat>
            <c:strRef>
              <c:f>PT_4!$A$4:$A$6</c:f>
              <c:strCache>
                <c:ptCount val="3"/>
                <c:pt idx="0">
                  <c:v>average</c:v>
                </c:pt>
                <c:pt idx="1">
                  <c:v>excellent</c:v>
                </c:pt>
                <c:pt idx="2">
                  <c:v>poor</c:v>
                </c:pt>
              </c:strCache>
            </c:strRef>
          </c:cat>
          <c:val>
            <c:numRef>
              <c:f>PT_4!$B$4:$B$6</c:f>
              <c:numCache>
                <c:formatCode>General</c:formatCode>
                <c:ptCount val="3"/>
                <c:pt idx="0">
                  <c:v>0.38045454545454549</c:v>
                </c:pt>
                <c:pt idx="1">
                  <c:v>0.3765217391304348</c:v>
                </c:pt>
                <c:pt idx="2">
                  <c:v>0.35359374999999987</c:v>
                </c:pt>
              </c:numCache>
            </c:numRef>
          </c:val>
          <c:extLst>
            <c:ext xmlns:c16="http://schemas.microsoft.com/office/drawing/2014/chart" uri="{C3380CC4-5D6E-409C-BE32-E72D297353CC}">
              <c16:uniqueId val="{00000000-A840-4CE8-812D-CCBC5C744168}"/>
            </c:ext>
          </c:extLst>
        </c:ser>
        <c:dLbls>
          <c:showLegendKey val="0"/>
          <c:showVal val="0"/>
          <c:showCatName val="0"/>
          <c:showSerName val="0"/>
          <c:showPercent val="0"/>
          <c:showBubbleSize val="0"/>
        </c:dLbls>
        <c:gapWidth val="219"/>
        <c:overlap val="-27"/>
        <c:axId val="1574730143"/>
        <c:axId val="1574718911"/>
      </c:barChart>
      <c:catAx>
        <c:axId val="157473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74718911"/>
        <c:crosses val="autoZero"/>
        <c:auto val="1"/>
        <c:lblAlgn val="ctr"/>
        <c:lblOffset val="100"/>
        <c:noMultiLvlLbl val="0"/>
      </c:catAx>
      <c:valAx>
        <c:axId val="157471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74730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[jumia_sales_dashboard.xlsx]PT_5!PivotTable19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Review</a:t>
            </a:r>
            <a:r>
              <a:rPr lang="en-US" b="1" baseline="0">
                <a:solidFill>
                  <a:srgbClr val="002060"/>
                </a:solidFill>
              </a:rPr>
              <a:t> Count by Discount</a:t>
            </a:r>
            <a:endParaRPr lang="en-US" b="1">
              <a:solidFill>
                <a:srgbClr val="002060"/>
              </a:solidFill>
            </a:endParaRPr>
          </a:p>
        </c:rich>
      </c:tx>
      <c:layout>
        <c:manualLayout>
          <c:xMode val="edge"/>
          <c:yMode val="edge"/>
          <c:x val="0.2865345581802274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PT_5!$B$3</c:f>
              <c:strCache>
                <c:ptCount val="1"/>
                <c:pt idx="0">
                  <c:v>Total</c:v>
                </c:pt>
              </c:strCache>
            </c:strRef>
          </c:tx>
          <c:spPr>
            <a:ln w="28575" cap="rnd">
              <a:solidFill>
                <a:schemeClr val="accent1"/>
              </a:solidFill>
              <a:round/>
            </a:ln>
            <a:effectLst/>
          </c:spPr>
          <c:marker>
            <c:symbol val="none"/>
          </c:marker>
          <c:cat>
            <c:strRef>
              <c:f>PT_5!$A$4:$A$50</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PT_5!$B$4:$B$50</c:f>
              <c:numCache>
                <c:formatCode>General</c:formatCode>
                <c:ptCount val="46"/>
                <c:pt idx="0">
                  <c:v>1</c:v>
                </c:pt>
                <c:pt idx="1">
                  <c:v>6</c:v>
                </c:pt>
                <c:pt idx="2">
                  <c:v>1</c:v>
                </c:pt>
                <c:pt idx="3">
                  <c:v>2</c:v>
                </c:pt>
                <c:pt idx="4">
                  <c:v>1</c:v>
                </c:pt>
                <c:pt idx="5">
                  <c:v>1</c:v>
                </c:pt>
                <c:pt idx="6">
                  <c:v>1</c:v>
                </c:pt>
                <c:pt idx="7">
                  <c:v>1</c:v>
                </c:pt>
                <c:pt idx="8">
                  <c:v>2</c:v>
                </c:pt>
                <c:pt idx="9">
                  <c:v>1</c:v>
                </c:pt>
                <c:pt idx="10">
                  <c:v>1</c:v>
                </c:pt>
                <c:pt idx="11">
                  <c:v>1</c:v>
                </c:pt>
                <c:pt idx="12">
                  <c:v>1</c:v>
                </c:pt>
                <c:pt idx="13">
                  <c:v>2</c:v>
                </c:pt>
                <c:pt idx="14">
                  <c:v>1</c:v>
                </c:pt>
                <c:pt idx="15">
                  <c:v>2</c:v>
                </c:pt>
                <c:pt idx="16">
                  <c:v>1</c:v>
                </c:pt>
                <c:pt idx="17">
                  <c:v>1</c:v>
                </c:pt>
                <c:pt idx="18">
                  <c:v>3</c:v>
                </c:pt>
                <c:pt idx="19">
                  <c:v>1</c:v>
                </c:pt>
                <c:pt idx="20">
                  <c:v>1</c:v>
                </c:pt>
                <c:pt idx="21">
                  <c:v>1</c:v>
                </c:pt>
                <c:pt idx="22">
                  <c:v>2</c:v>
                </c:pt>
                <c:pt idx="23">
                  <c:v>4</c:v>
                </c:pt>
                <c:pt idx="24">
                  <c:v>2</c:v>
                </c:pt>
                <c:pt idx="25">
                  <c:v>1</c:v>
                </c:pt>
                <c:pt idx="26">
                  <c:v>2</c:v>
                </c:pt>
                <c:pt idx="27">
                  <c:v>4</c:v>
                </c:pt>
                <c:pt idx="28">
                  <c:v>1</c:v>
                </c:pt>
                <c:pt idx="29">
                  <c:v>1</c:v>
                </c:pt>
                <c:pt idx="30">
                  <c:v>3</c:v>
                </c:pt>
                <c:pt idx="31">
                  <c:v>4</c:v>
                </c:pt>
                <c:pt idx="32">
                  <c:v>4</c:v>
                </c:pt>
                <c:pt idx="33">
                  <c:v>4</c:v>
                </c:pt>
                <c:pt idx="34">
                  <c:v>3</c:v>
                </c:pt>
                <c:pt idx="35">
                  <c:v>7</c:v>
                </c:pt>
                <c:pt idx="36">
                  <c:v>4</c:v>
                </c:pt>
                <c:pt idx="37">
                  <c:v>12</c:v>
                </c:pt>
                <c:pt idx="38">
                  <c:v>7</c:v>
                </c:pt>
                <c:pt idx="39">
                  <c:v>1</c:v>
                </c:pt>
                <c:pt idx="40">
                  <c:v>2</c:v>
                </c:pt>
                <c:pt idx="41">
                  <c:v>2</c:v>
                </c:pt>
                <c:pt idx="42">
                  <c:v>2</c:v>
                </c:pt>
                <c:pt idx="43">
                  <c:v>2</c:v>
                </c:pt>
                <c:pt idx="44">
                  <c:v>1</c:v>
                </c:pt>
                <c:pt idx="45">
                  <c:v>1</c:v>
                </c:pt>
              </c:numCache>
            </c:numRef>
          </c:val>
          <c:smooth val="0"/>
          <c:extLst>
            <c:ext xmlns:c16="http://schemas.microsoft.com/office/drawing/2014/chart" uri="{C3380CC4-5D6E-409C-BE32-E72D297353CC}">
              <c16:uniqueId val="{00000000-F518-470A-934D-01680869D7D1}"/>
            </c:ext>
          </c:extLst>
        </c:ser>
        <c:dLbls>
          <c:showLegendKey val="0"/>
          <c:showVal val="0"/>
          <c:showCatName val="0"/>
          <c:showSerName val="0"/>
          <c:showPercent val="0"/>
          <c:showBubbleSize val="0"/>
        </c:dLbls>
        <c:smooth val="0"/>
        <c:axId val="257362751"/>
        <c:axId val="257366911"/>
      </c:lineChart>
      <c:catAx>
        <c:axId val="25736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7366911"/>
        <c:crosses val="autoZero"/>
        <c:auto val="1"/>
        <c:lblAlgn val="ctr"/>
        <c:lblOffset val="100"/>
        <c:noMultiLvlLbl val="0"/>
      </c:catAx>
      <c:valAx>
        <c:axId val="25736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736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[jumia_sales_dashboard.xlsx]PT_6!PivotTable20</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Review</a:t>
            </a:r>
            <a:r>
              <a:rPr lang="en-US" b="1" baseline="0">
                <a:solidFill>
                  <a:srgbClr val="002060"/>
                </a:solidFill>
              </a:rPr>
              <a:t> Count by Rating</a:t>
            </a:r>
            <a:endParaRPr lang="en-US" b="1">
              <a:solidFill>
                <a:srgbClr val="002060"/>
              </a:solidFill>
            </a:endParaRPr>
          </a:p>
        </c:rich>
      </c:tx>
      <c:layout>
        <c:manualLayout>
          <c:xMode val="edge"/>
          <c:yMode val="edge"/>
          <c:x val="0.3743678915135608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PT_6!$B$3</c:f>
              <c:strCache>
                <c:ptCount val="1"/>
                <c:pt idx="0">
                  <c:v>Total</c:v>
                </c:pt>
              </c:strCache>
            </c:strRef>
          </c:tx>
          <c:spPr>
            <a:solidFill>
              <a:schemeClr val="accent6">
                <a:lumMod val="75000"/>
              </a:schemeClr>
            </a:solidFill>
            <a:ln>
              <a:noFill/>
            </a:ln>
            <a:effectLst/>
          </c:spPr>
          <c:invertIfNegative val="0"/>
          <c:cat>
            <c:strRef>
              <c:f>PT_6!$A$4:$A$28</c:f>
              <c:strCache>
                <c:ptCount val="24"/>
                <c:pt idx="0">
                  <c:v>0</c:v>
                </c:pt>
                <c:pt idx="1">
                  <c:v>2</c:v>
                </c:pt>
                <c:pt idx="2">
                  <c:v>2.1</c:v>
                </c:pt>
                <c:pt idx="3">
                  <c:v>2.2</c:v>
                </c:pt>
                <c:pt idx="4">
                  <c:v>2.3</c:v>
                </c:pt>
                <c:pt idx="5">
                  <c:v>2.5</c:v>
                </c:pt>
                <c:pt idx="6">
                  <c:v>2.6</c:v>
                </c:pt>
                <c:pt idx="7">
                  <c:v>2.7</c:v>
                </c:pt>
                <c:pt idx="8">
                  <c:v>2.8</c:v>
                </c:pt>
                <c:pt idx="9">
                  <c:v>2.9</c:v>
                </c:pt>
                <c:pt idx="10">
                  <c:v>3</c:v>
                </c:pt>
                <c:pt idx="11">
                  <c:v>3.3</c:v>
                </c:pt>
                <c:pt idx="12">
                  <c:v>3.8</c:v>
                </c:pt>
                <c:pt idx="13">
                  <c:v>4</c:v>
                </c:pt>
                <c:pt idx="14">
                  <c:v>4.1</c:v>
                </c:pt>
                <c:pt idx="15">
                  <c:v>4.2</c:v>
                </c:pt>
                <c:pt idx="16">
                  <c:v>4.3</c:v>
                </c:pt>
                <c:pt idx="17">
                  <c:v>4.4</c:v>
                </c:pt>
                <c:pt idx="18">
                  <c:v>4.5</c:v>
                </c:pt>
                <c:pt idx="19">
                  <c:v>4.6</c:v>
                </c:pt>
                <c:pt idx="20">
                  <c:v>4.7</c:v>
                </c:pt>
                <c:pt idx="21">
                  <c:v>4.8</c:v>
                </c:pt>
                <c:pt idx="22">
                  <c:v>5</c:v>
                </c:pt>
                <c:pt idx="23">
                  <c:v>(blank)</c:v>
                </c:pt>
              </c:strCache>
            </c:strRef>
          </c:cat>
          <c:val>
            <c:numRef>
              <c:f>PT_6!$B$4:$B$28</c:f>
              <c:numCache>
                <c:formatCode>General</c:formatCode>
                <c:ptCount val="24"/>
                <c:pt idx="0">
                  <c:v>51</c:v>
                </c:pt>
                <c:pt idx="1">
                  <c:v>1</c:v>
                </c:pt>
                <c:pt idx="2">
                  <c:v>2</c:v>
                </c:pt>
                <c:pt idx="3">
                  <c:v>2</c:v>
                </c:pt>
                <c:pt idx="4">
                  <c:v>2</c:v>
                </c:pt>
                <c:pt idx="5">
                  <c:v>1</c:v>
                </c:pt>
                <c:pt idx="6">
                  <c:v>1</c:v>
                </c:pt>
                <c:pt idx="7">
                  <c:v>1</c:v>
                </c:pt>
                <c:pt idx="8">
                  <c:v>1</c:v>
                </c:pt>
                <c:pt idx="9">
                  <c:v>1</c:v>
                </c:pt>
                <c:pt idx="10">
                  <c:v>5</c:v>
                </c:pt>
                <c:pt idx="11">
                  <c:v>1</c:v>
                </c:pt>
                <c:pt idx="12">
                  <c:v>3</c:v>
                </c:pt>
                <c:pt idx="13">
                  <c:v>4</c:v>
                </c:pt>
                <c:pt idx="14">
                  <c:v>3</c:v>
                </c:pt>
                <c:pt idx="15">
                  <c:v>1</c:v>
                </c:pt>
                <c:pt idx="16">
                  <c:v>4</c:v>
                </c:pt>
                <c:pt idx="17">
                  <c:v>1</c:v>
                </c:pt>
                <c:pt idx="18">
                  <c:v>4</c:v>
                </c:pt>
                <c:pt idx="19">
                  <c:v>5</c:v>
                </c:pt>
                <c:pt idx="20">
                  <c:v>4</c:v>
                </c:pt>
                <c:pt idx="21">
                  <c:v>3</c:v>
                </c:pt>
                <c:pt idx="22">
                  <c:v>7</c:v>
                </c:pt>
                <c:pt idx="23">
                  <c:v>1</c:v>
                </c:pt>
              </c:numCache>
            </c:numRef>
          </c:val>
          <c:extLst>
            <c:ext xmlns:c16="http://schemas.microsoft.com/office/drawing/2014/chart" uri="{C3380CC4-5D6E-409C-BE32-E72D297353CC}">
              <c16:uniqueId val="{00000000-1766-4FC6-A436-4884E251023B}"/>
            </c:ext>
          </c:extLst>
        </c:ser>
        <c:dLbls>
          <c:showLegendKey val="0"/>
          <c:showVal val="0"/>
          <c:showCatName val="0"/>
          <c:showSerName val="0"/>
          <c:showPercent val="0"/>
          <c:showBubbleSize val="0"/>
        </c:dLbls>
        <c:gapWidth val="182"/>
        <c:axId val="246806719"/>
        <c:axId val="246808799"/>
      </c:barChart>
      <c:catAx>
        <c:axId val="24680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46808799"/>
        <c:crosses val="autoZero"/>
        <c:auto val="1"/>
        <c:lblAlgn val="ctr"/>
        <c:lblOffset val="100"/>
        <c:noMultiLvlLbl val="0"/>
      </c:catAx>
      <c:valAx>
        <c:axId val="246808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4680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[jumia_sales_dashboard.xlsx]PT_7!PivotTable1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Ratings</a:t>
            </a:r>
            <a:r>
              <a:rPr lang="en-US" b="1" baseline="0">
                <a:solidFill>
                  <a:srgbClr val="002060"/>
                </a:solidFill>
              </a:rPr>
              <a:t> by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PT_7!$B$3</c:f>
              <c:strCache>
                <c:ptCount val="1"/>
                <c:pt idx="0">
                  <c:v>Total</c:v>
                </c:pt>
              </c:strCache>
            </c:strRef>
          </c:tx>
          <c:spPr>
            <a:solidFill>
              <a:schemeClr val="accent6">
                <a:lumMod val="75000"/>
              </a:schemeClr>
            </a:solidFill>
            <a:ln>
              <a:noFill/>
            </a:ln>
            <a:effectLst/>
          </c:spPr>
          <c:invertIfNegative val="0"/>
          <c:cat>
            <c:strRef>
              <c:f>PT_7!$A$4:$A$11</c:f>
              <c:strCache>
                <c:ptCount val="7"/>
                <c:pt idx="0">
                  <c:v>0-9</c:v>
                </c:pt>
                <c:pt idx="1">
                  <c:v>10-19</c:v>
                </c:pt>
                <c:pt idx="2">
                  <c:v>20-29</c:v>
                </c:pt>
                <c:pt idx="3">
                  <c:v>30-39</c:v>
                </c:pt>
                <c:pt idx="4">
                  <c:v>40-49</c:v>
                </c:pt>
                <c:pt idx="5">
                  <c:v>50-59</c:v>
                </c:pt>
                <c:pt idx="6">
                  <c:v>60-69</c:v>
                </c:pt>
              </c:strCache>
            </c:strRef>
          </c:cat>
          <c:val>
            <c:numRef>
              <c:f>PT_7!$B$4:$B$11</c:f>
              <c:numCache>
                <c:formatCode>General</c:formatCode>
                <c:ptCount val="7"/>
                <c:pt idx="0">
                  <c:v>1.5226190476190475</c:v>
                </c:pt>
                <c:pt idx="1">
                  <c:v>3.5928571428571439</c:v>
                </c:pt>
                <c:pt idx="2">
                  <c:v>4.4666666666666659</c:v>
                </c:pt>
                <c:pt idx="3">
                  <c:v>4.5</c:v>
                </c:pt>
                <c:pt idx="4">
                  <c:v>4.5999999999999996</c:v>
                </c:pt>
                <c:pt idx="5">
                  <c:v>4.5999999999999996</c:v>
                </c:pt>
                <c:pt idx="6">
                  <c:v>2.8</c:v>
                </c:pt>
              </c:numCache>
            </c:numRef>
          </c:val>
          <c:extLst>
            <c:ext xmlns:c16="http://schemas.microsoft.com/office/drawing/2014/chart" uri="{C3380CC4-5D6E-409C-BE32-E72D297353CC}">
              <c16:uniqueId val="{00000000-CAE9-4E8A-95DF-46BE98E33C08}"/>
            </c:ext>
          </c:extLst>
        </c:ser>
        <c:dLbls>
          <c:showLegendKey val="0"/>
          <c:showVal val="0"/>
          <c:showCatName val="0"/>
          <c:showSerName val="0"/>
          <c:showPercent val="0"/>
          <c:showBubbleSize val="0"/>
        </c:dLbls>
        <c:gapWidth val="219"/>
        <c:overlap val="-27"/>
        <c:axId val="607868112"/>
        <c:axId val="769431424"/>
      </c:barChart>
      <c:catAx>
        <c:axId val="60786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9431424"/>
        <c:crosses val="autoZero"/>
        <c:auto val="1"/>
        <c:lblAlgn val="ctr"/>
        <c:lblOffset val="100"/>
        <c:noMultiLvlLbl val="0"/>
      </c:catAx>
      <c:valAx>
        <c:axId val="76943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786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[jumia_sales_dashboard.xlsx]PT_8!PivotTable2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Discount</a:t>
            </a:r>
            <a:r>
              <a:rPr lang="en-US" b="1" baseline="0">
                <a:solidFill>
                  <a:srgbClr val="002060"/>
                </a:solidFill>
              </a:rPr>
              <a:t> Percentage by Reviews</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PT_8!$B$3</c:f>
              <c:strCache>
                <c:ptCount val="1"/>
                <c:pt idx="0">
                  <c:v>Total</c:v>
                </c:pt>
              </c:strCache>
            </c:strRef>
          </c:tx>
          <c:spPr>
            <a:solidFill>
              <a:schemeClr val="accent6">
                <a:lumMod val="75000"/>
              </a:schemeClr>
            </a:solidFill>
            <a:ln>
              <a:noFill/>
            </a:ln>
            <a:effectLst/>
          </c:spPr>
          <c:invertIfNegative val="0"/>
          <c:cat>
            <c:strRef>
              <c:f>PT_8!$A$4:$A$11</c:f>
              <c:strCache>
                <c:ptCount val="7"/>
                <c:pt idx="0">
                  <c:v>0-9</c:v>
                </c:pt>
                <c:pt idx="1">
                  <c:v>10-19</c:v>
                </c:pt>
                <c:pt idx="2">
                  <c:v>20-29</c:v>
                </c:pt>
                <c:pt idx="3">
                  <c:v>30-39</c:v>
                </c:pt>
                <c:pt idx="4">
                  <c:v>40-49</c:v>
                </c:pt>
                <c:pt idx="5">
                  <c:v>50-59</c:v>
                </c:pt>
                <c:pt idx="6">
                  <c:v>60-69</c:v>
                </c:pt>
              </c:strCache>
            </c:strRef>
          </c:cat>
          <c:val>
            <c:numRef>
              <c:f>PT_8!$B$4:$B$11</c:f>
              <c:numCache>
                <c:formatCode>General</c:formatCode>
                <c:ptCount val="7"/>
                <c:pt idx="0">
                  <c:v>0.36635294117647044</c:v>
                </c:pt>
                <c:pt idx="1">
                  <c:v>0.36499999999999994</c:v>
                </c:pt>
                <c:pt idx="2">
                  <c:v>0.27333333333333337</c:v>
                </c:pt>
                <c:pt idx="3">
                  <c:v>0.34</c:v>
                </c:pt>
                <c:pt idx="4">
                  <c:v>0.42</c:v>
                </c:pt>
                <c:pt idx="5">
                  <c:v>0.24</c:v>
                </c:pt>
                <c:pt idx="6">
                  <c:v>0.49</c:v>
                </c:pt>
              </c:numCache>
            </c:numRef>
          </c:val>
          <c:extLst>
            <c:ext xmlns:c16="http://schemas.microsoft.com/office/drawing/2014/chart" uri="{C3380CC4-5D6E-409C-BE32-E72D297353CC}">
              <c16:uniqueId val="{00000000-14CE-40D0-AE6D-591AEA4CD53B}"/>
            </c:ext>
          </c:extLst>
        </c:ser>
        <c:dLbls>
          <c:showLegendKey val="0"/>
          <c:showVal val="0"/>
          <c:showCatName val="0"/>
          <c:showSerName val="0"/>
          <c:showPercent val="0"/>
          <c:showBubbleSize val="0"/>
        </c:dLbls>
        <c:gapWidth val="219"/>
        <c:overlap val="-27"/>
        <c:axId val="609606560"/>
        <c:axId val="609607392"/>
      </c:barChart>
      <c:catAx>
        <c:axId val="60960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9607392"/>
        <c:crosses val="autoZero"/>
        <c:auto val="1"/>
        <c:lblAlgn val="ctr"/>
        <c:lblOffset val="100"/>
        <c:noMultiLvlLbl val="0"/>
      </c:catAx>
      <c:valAx>
        <c:axId val="60960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960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[jumia_sales_dashboard.xlsx]PT_9!PivotTable3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rgbClr val="002060"/>
                </a:solidFill>
              </a:rPr>
              <a:t>Top ten</a:t>
            </a:r>
            <a:r>
              <a:rPr lang="en-US" b="0" baseline="0">
                <a:solidFill>
                  <a:srgbClr val="002060"/>
                </a:solidFill>
              </a:rPr>
              <a:t> Products with Highest Discount</a:t>
            </a:r>
            <a:endParaRPr lang="en-US" b="0">
              <a:solidFill>
                <a:srgbClr val="002060"/>
              </a:solidFill>
            </a:endParaRPr>
          </a:p>
        </c:rich>
      </c:tx>
      <c:layout>
        <c:manualLayout>
          <c:xMode val="edge"/>
          <c:yMode val="edge"/>
          <c:x val="0.1819273009868179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PT_9!$B$3</c:f>
              <c:strCache>
                <c:ptCount val="1"/>
                <c:pt idx="0">
                  <c:v>Total</c:v>
                </c:pt>
              </c:strCache>
            </c:strRef>
          </c:tx>
          <c:spPr>
            <a:solidFill>
              <a:schemeClr val="accent6">
                <a:lumMod val="75000"/>
              </a:schemeClr>
            </a:solidFill>
            <a:ln>
              <a:noFill/>
            </a:ln>
            <a:effectLst/>
          </c:spPr>
          <c:invertIfNegative val="0"/>
          <c:cat>
            <c:strRef>
              <c:f>PT_9!$A$4:$A$14</c:f>
              <c:strCache>
                <c:ptCount val="10"/>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strCache>
            </c:strRef>
          </c:cat>
          <c:val>
            <c:numRef>
              <c:f>PT_9!$B$4:$B$14</c:f>
              <c:numCache>
                <c:formatCode>General</c:formatCode>
                <c:ptCount val="10"/>
                <c:pt idx="0">
                  <c:v>0.38</c:v>
                </c:pt>
                <c:pt idx="1">
                  <c:v>0.34</c:v>
                </c:pt>
                <c:pt idx="2">
                  <c:v>0.38</c:v>
                </c:pt>
                <c:pt idx="3">
                  <c:v>0.32</c:v>
                </c:pt>
                <c:pt idx="4">
                  <c:v>0.34</c:v>
                </c:pt>
                <c:pt idx="5">
                  <c:v>0.49</c:v>
                </c:pt>
                <c:pt idx="6">
                  <c:v>0.27</c:v>
                </c:pt>
                <c:pt idx="7">
                  <c:v>0.45</c:v>
                </c:pt>
                <c:pt idx="8">
                  <c:v>0.24</c:v>
                </c:pt>
                <c:pt idx="9">
                  <c:v>0.24</c:v>
                </c:pt>
              </c:numCache>
            </c:numRef>
          </c:val>
          <c:extLst>
            <c:ext xmlns:c16="http://schemas.microsoft.com/office/drawing/2014/chart" uri="{C3380CC4-5D6E-409C-BE32-E72D297353CC}">
              <c16:uniqueId val="{00000000-B316-43F9-A243-8007C22220FC}"/>
            </c:ext>
          </c:extLst>
        </c:ser>
        <c:dLbls>
          <c:showLegendKey val="0"/>
          <c:showVal val="0"/>
          <c:showCatName val="0"/>
          <c:showSerName val="0"/>
          <c:showPercent val="0"/>
          <c:showBubbleSize val="0"/>
        </c:dLbls>
        <c:gapWidth val="182"/>
        <c:axId val="824364496"/>
        <c:axId val="824365328"/>
      </c:barChart>
      <c:catAx>
        <c:axId val="82436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365328"/>
        <c:crosses val="autoZero"/>
        <c:auto val="1"/>
        <c:lblAlgn val="ctr"/>
        <c:lblOffset val="100"/>
        <c:noMultiLvlLbl val="0"/>
      </c:catAx>
      <c:valAx>
        <c:axId val="82436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36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[jumia_sales_dashboard.xlsx]PT_10!PivotTable4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a:t>
            </a:r>
            <a:r>
              <a:rPr lang="en-US" b="1" baseline="0">
                <a:solidFill>
                  <a:srgbClr val="002060"/>
                </a:solidFill>
              </a:rPr>
              <a:t> ten Products by Reviews</a:t>
            </a:r>
            <a:endParaRPr lang="en-US" b="1">
              <a:solidFill>
                <a:srgbClr val="002060"/>
              </a:solidFill>
            </a:endParaRPr>
          </a:p>
        </c:rich>
      </c:tx>
      <c:layout>
        <c:manualLayout>
          <c:xMode val="edge"/>
          <c:yMode val="edge"/>
          <c:x val="0.2583941713168206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PT_10!$B$3</c:f>
              <c:strCache>
                <c:ptCount val="1"/>
                <c:pt idx="0">
                  <c:v>Total</c:v>
                </c:pt>
              </c:strCache>
            </c:strRef>
          </c:tx>
          <c:spPr>
            <a:solidFill>
              <a:schemeClr val="accent6">
                <a:lumMod val="75000"/>
              </a:schemeClr>
            </a:solidFill>
            <a:ln>
              <a:noFill/>
            </a:ln>
            <a:effectLst/>
          </c:spPr>
          <c:invertIfNegative val="0"/>
          <c:cat>
            <c:strRef>
              <c:f>PT_10!$A$4:$A$14</c:f>
              <c:strCache>
                <c:ptCount val="10"/>
                <c:pt idx="0">
                  <c:v>100 Pcs Crochet Hook Tool Set Knitting Hook Set With Box</c:v>
                </c:pt>
                <c:pt idx="1">
                  <c:v>120W Cordless Vacuum Cleaners Handheld Electric Vacuum Cleaner</c:v>
                </c:pt>
                <c:pt idx="2">
                  <c:v>137 Pieces Cake Decorating Tool Set Baking Supplies</c:v>
                </c:pt>
                <c:pt idx="3">
                  <c:v>220V 60W Electric Soldering Iron Kits With Tools, Tips, And Multimeter</c:v>
                </c:pt>
                <c:pt idx="4">
                  <c:v>3D Waterproof EVA Plastic Shower Curtain 1.8*2Mtrs</c:v>
                </c:pt>
                <c:pt idx="5">
                  <c:v>Electronic Digital Display Vernier Caliper</c:v>
                </c:pt>
                <c:pt idx="6">
                  <c:v>Intelligent  LED Body Sensor Wireless Lighting Night Light USB</c:v>
                </c:pt>
                <c:pt idx="7">
                  <c:v>Portable Mini Cordless Car Vacuum Cleaner - Blue</c:v>
                </c:pt>
                <c:pt idx="8">
                  <c:v>Punch-free Great Load Bearing Bathroom Storage Rack Wall Shelf-White</c:v>
                </c:pt>
                <c:pt idx="9">
                  <c:v>VIC Wireless Vacuum Cleaner Dual Use For Home And Car 120W High Power Powerful</c:v>
                </c:pt>
              </c:strCache>
            </c:strRef>
          </c:cat>
          <c:val>
            <c:numRef>
              <c:f>PT_10!$B$4:$B$14</c:f>
              <c:numCache>
                <c:formatCode>General</c:formatCode>
                <c:ptCount val="10"/>
                <c:pt idx="0">
                  <c:v>39</c:v>
                </c:pt>
                <c:pt idx="1">
                  <c:v>69</c:v>
                </c:pt>
                <c:pt idx="2">
                  <c:v>55</c:v>
                </c:pt>
                <c:pt idx="3">
                  <c:v>15</c:v>
                </c:pt>
                <c:pt idx="4">
                  <c:v>44</c:v>
                </c:pt>
                <c:pt idx="5">
                  <c:v>49</c:v>
                </c:pt>
                <c:pt idx="6">
                  <c:v>15</c:v>
                </c:pt>
                <c:pt idx="7">
                  <c:v>24</c:v>
                </c:pt>
                <c:pt idx="8">
                  <c:v>36</c:v>
                </c:pt>
                <c:pt idx="9">
                  <c:v>16</c:v>
                </c:pt>
              </c:numCache>
            </c:numRef>
          </c:val>
          <c:extLst>
            <c:ext xmlns:c16="http://schemas.microsoft.com/office/drawing/2014/chart" uri="{C3380CC4-5D6E-409C-BE32-E72D297353CC}">
              <c16:uniqueId val="{00000000-BA48-4323-83B3-B63B2CBB2C54}"/>
            </c:ext>
          </c:extLst>
        </c:ser>
        <c:dLbls>
          <c:showLegendKey val="0"/>
          <c:showVal val="0"/>
          <c:showCatName val="0"/>
          <c:showSerName val="0"/>
          <c:showPercent val="0"/>
          <c:showBubbleSize val="0"/>
        </c:dLbls>
        <c:gapWidth val="219"/>
        <c:overlap val="-27"/>
        <c:axId val="833212592"/>
        <c:axId val="833213008"/>
      </c:barChart>
      <c:catAx>
        <c:axId val="83321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3213008"/>
        <c:crosses val="autoZero"/>
        <c:auto val="1"/>
        <c:lblAlgn val="ctr"/>
        <c:lblOffset val="100"/>
        <c:noMultiLvlLbl val="0"/>
      </c:catAx>
      <c:valAx>
        <c:axId val="83321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321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[jumia_sales_dashboard.xlsx]PT_11!PivotTable5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a:t>
            </a:r>
            <a:r>
              <a:rPr lang="en-US" b="1" baseline="0">
                <a:solidFill>
                  <a:srgbClr val="002060"/>
                </a:solidFill>
              </a:rPr>
              <a:t> five Products by Rating</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PT_11!$B$3</c:f>
              <c:strCache>
                <c:ptCount val="1"/>
                <c:pt idx="0">
                  <c:v>Total</c:v>
                </c:pt>
              </c:strCache>
            </c:strRef>
          </c:tx>
          <c:spPr>
            <a:solidFill>
              <a:schemeClr val="accent6">
                <a:lumMod val="75000"/>
              </a:schemeClr>
            </a:solidFill>
            <a:ln>
              <a:noFill/>
            </a:ln>
            <a:effectLst/>
          </c:spPr>
          <c:invertIfNegative val="0"/>
          <c:cat>
            <c:strRef>
              <c:f>PT_11!$A$4:$A$9</c:f>
              <c:strCache>
                <c:ptCount val="5"/>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strCache>
            </c:strRef>
          </c:cat>
          <c:val>
            <c:numRef>
              <c:f>PT_11!$B$4:$B$9</c:f>
              <c:numCache>
                <c:formatCode>General</c:formatCode>
                <c:ptCount val="5"/>
                <c:pt idx="0">
                  <c:v>4.5</c:v>
                </c:pt>
                <c:pt idx="1">
                  <c:v>4.7</c:v>
                </c:pt>
                <c:pt idx="2">
                  <c:v>4.5</c:v>
                </c:pt>
                <c:pt idx="3">
                  <c:v>3.8</c:v>
                </c:pt>
                <c:pt idx="4">
                  <c:v>4.7</c:v>
                </c:pt>
              </c:numCache>
            </c:numRef>
          </c:val>
          <c:extLst>
            <c:ext xmlns:c16="http://schemas.microsoft.com/office/drawing/2014/chart" uri="{C3380CC4-5D6E-409C-BE32-E72D297353CC}">
              <c16:uniqueId val="{00000000-7BFD-452F-91B5-4298CC09FBFF}"/>
            </c:ext>
          </c:extLst>
        </c:ser>
        <c:dLbls>
          <c:showLegendKey val="0"/>
          <c:showVal val="0"/>
          <c:showCatName val="0"/>
          <c:showSerName val="0"/>
          <c:showPercent val="0"/>
          <c:showBubbleSize val="0"/>
        </c:dLbls>
        <c:gapWidth val="219"/>
        <c:overlap val="-27"/>
        <c:axId val="812782608"/>
        <c:axId val="812783440"/>
      </c:barChart>
      <c:catAx>
        <c:axId val="81278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12783440"/>
        <c:crosses val="autoZero"/>
        <c:auto val="1"/>
        <c:lblAlgn val="ctr"/>
        <c:lblOffset val="100"/>
        <c:noMultiLvlLbl val="0"/>
      </c:catAx>
      <c:valAx>
        <c:axId val="81278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1278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[jumia_sales_dashboard.xlsx]PT_12!PivotTable6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Sum</a:t>
            </a:r>
            <a:r>
              <a:rPr lang="en-US" b="1" baseline="0">
                <a:solidFill>
                  <a:srgbClr val="002060"/>
                </a:solidFill>
              </a:rPr>
              <a:t> of Rating by Review and Rating Category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PT_12!$B$3</c:f>
              <c:strCache>
                <c:ptCount val="1"/>
                <c:pt idx="0">
                  <c:v>Total</c:v>
                </c:pt>
              </c:strCache>
            </c:strRef>
          </c:tx>
          <c:spPr>
            <a:solidFill>
              <a:schemeClr val="accent6">
                <a:lumMod val="75000"/>
              </a:schemeClr>
            </a:solidFill>
            <a:ln>
              <a:noFill/>
            </a:ln>
            <a:effectLst/>
          </c:spPr>
          <c:invertIfNegative val="0"/>
          <c:cat>
            <c:multiLvlStrRef>
              <c:f>PT_12!$A$4:$A$24</c:f>
              <c:multiLvlStrCache>
                <c:ptCount val="13"/>
                <c:lvl>
                  <c:pt idx="0">
                    <c:v>average</c:v>
                  </c:pt>
                  <c:pt idx="1">
                    <c:v>excellent</c:v>
                  </c:pt>
                  <c:pt idx="2">
                    <c:v>poor</c:v>
                  </c:pt>
                  <c:pt idx="3">
                    <c:v>average</c:v>
                  </c:pt>
                  <c:pt idx="4">
                    <c:v>excellent</c:v>
                  </c:pt>
                  <c:pt idx="5">
                    <c:v>poor</c:v>
                  </c:pt>
                  <c:pt idx="6">
                    <c:v>average</c:v>
                  </c:pt>
                  <c:pt idx="7">
                    <c:v>excellent</c:v>
                  </c:pt>
                  <c:pt idx="8">
                    <c:v>average</c:v>
                  </c:pt>
                  <c:pt idx="9">
                    <c:v>excellent</c:v>
                  </c:pt>
                  <c:pt idx="10">
                    <c:v>excellent</c:v>
                  </c:pt>
                  <c:pt idx="11">
                    <c:v>excellent</c:v>
                  </c:pt>
                  <c:pt idx="12">
                    <c:v>poor</c:v>
                  </c:pt>
                </c:lvl>
                <c:lvl>
                  <c:pt idx="0">
                    <c:v>0-9</c:v>
                  </c:pt>
                  <c:pt idx="3">
                    <c:v>10-19</c:v>
                  </c:pt>
                  <c:pt idx="6">
                    <c:v>20-29</c:v>
                  </c:pt>
                  <c:pt idx="8">
                    <c:v>30-39</c:v>
                  </c:pt>
                  <c:pt idx="10">
                    <c:v>40-49</c:v>
                  </c:pt>
                  <c:pt idx="11">
                    <c:v>50-59</c:v>
                  </c:pt>
                  <c:pt idx="12">
                    <c:v>60-69</c:v>
                  </c:pt>
                </c:lvl>
              </c:multiLvlStrCache>
            </c:multiLvlStrRef>
          </c:cat>
          <c:val>
            <c:numRef>
              <c:f>PT_12!$B$4:$B$24</c:f>
              <c:numCache>
                <c:formatCode>General</c:formatCode>
                <c:ptCount val="13"/>
                <c:pt idx="0">
                  <c:v>44.900000000000006</c:v>
                </c:pt>
                <c:pt idx="1">
                  <c:v>67.400000000000006</c:v>
                </c:pt>
                <c:pt idx="2">
                  <c:v>15.6</c:v>
                </c:pt>
                <c:pt idx="3">
                  <c:v>30.5</c:v>
                </c:pt>
                <c:pt idx="4">
                  <c:v>9.5</c:v>
                </c:pt>
                <c:pt idx="5">
                  <c:v>10.3</c:v>
                </c:pt>
                <c:pt idx="6">
                  <c:v>4.0999999999999996</c:v>
                </c:pt>
                <c:pt idx="7">
                  <c:v>9.3000000000000007</c:v>
                </c:pt>
                <c:pt idx="8">
                  <c:v>4.3</c:v>
                </c:pt>
                <c:pt idx="9">
                  <c:v>9.1999999999999993</c:v>
                </c:pt>
                <c:pt idx="10">
                  <c:v>9.1999999999999993</c:v>
                </c:pt>
                <c:pt idx="11">
                  <c:v>4.5999999999999996</c:v>
                </c:pt>
                <c:pt idx="12">
                  <c:v>2.8</c:v>
                </c:pt>
              </c:numCache>
            </c:numRef>
          </c:val>
          <c:extLst>
            <c:ext xmlns:c16="http://schemas.microsoft.com/office/drawing/2014/chart" uri="{C3380CC4-5D6E-409C-BE32-E72D297353CC}">
              <c16:uniqueId val="{00000000-0228-41E7-9C3F-EDD6B36BD401}"/>
            </c:ext>
          </c:extLst>
        </c:ser>
        <c:dLbls>
          <c:showLegendKey val="0"/>
          <c:showVal val="0"/>
          <c:showCatName val="0"/>
          <c:showSerName val="0"/>
          <c:showPercent val="0"/>
          <c:showBubbleSize val="0"/>
        </c:dLbls>
        <c:gapWidth val="219"/>
        <c:overlap val="-27"/>
        <c:axId val="773038400"/>
        <c:axId val="773058784"/>
      </c:barChart>
      <c:catAx>
        <c:axId val="77303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73058784"/>
        <c:crosses val="autoZero"/>
        <c:auto val="1"/>
        <c:lblAlgn val="ctr"/>
        <c:lblOffset val="100"/>
        <c:noMultiLvlLbl val="0"/>
      </c:catAx>
      <c:valAx>
        <c:axId val="77305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7303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[jumia_sales_dashboard.xlsx]PT_6!PivotTable20</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Review</a:t>
            </a:r>
            <a:r>
              <a:rPr lang="en-US" b="1" baseline="0">
                <a:solidFill>
                  <a:srgbClr val="002060"/>
                </a:solidFill>
              </a:rPr>
              <a:t> Count by Rating</a:t>
            </a:r>
            <a:endParaRPr lang="en-US" b="1">
              <a:solidFill>
                <a:srgbClr val="002060"/>
              </a:solidFill>
            </a:endParaRPr>
          </a:p>
        </c:rich>
      </c:tx>
      <c:layout>
        <c:manualLayout>
          <c:xMode val="edge"/>
          <c:yMode val="edge"/>
          <c:x val="0.3743678915135608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PT_6!$B$3</c:f>
              <c:strCache>
                <c:ptCount val="1"/>
                <c:pt idx="0">
                  <c:v>Total</c:v>
                </c:pt>
              </c:strCache>
            </c:strRef>
          </c:tx>
          <c:spPr>
            <a:solidFill>
              <a:schemeClr val="accent1"/>
            </a:solidFill>
            <a:ln>
              <a:noFill/>
            </a:ln>
            <a:effectLst/>
          </c:spPr>
          <c:invertIfNegative val="0"/>
          <c:cat>
            <c:strRef>
              <c:f>PT_6!$A$4:$A$28</c:f>
              <c:strCache>
                <c:ptCount val="24"/>
                <c:pt idx="0">
                  <c:v>0</c:v>
                </c:pt>
                <c:pt idx="1">
                  <c:v>2</c:v>
                </c:pt>
                <c:pt idx="2">
                  <c:v>2.1</c:v>
                </c:pt>
                <c:pt idx="3">
                  <c:v>2.2</c:v>
                </c:pt>
                <c:pt idx="4">
                  <c:v>2.3</c:v>
                </c:pt>
                <c:pt idx="5">
                  <c:v>2.5</c:v>
                </c:pt>
                <c:pt idx="6">
                  <c:v>2.6</c:v>
                </c:pt>
                <c:pt idx="7">
                  <c:v>2.7</c:v>
                </c:pt>
                <c:pt idx="8">
                  <c:v>2.8</c:v>
                </c:pt>
                <c:pt idx="9">
                  <c:v>2.9</c:v>
                </c:pt>
                <c:pt idx="10">
                  <c:v>3</c:v>
                </c:pt>
                <c:pt idx="11">
                  <c:v>3.3</c:v>
                </c:pt>
                <c:pt idx="12">
                  <c:v>3.8</c:v>
                </c:pt>
                <c:pt idx="13">
                  <c:v>4</c:v>
                </c:pt>
                <c:pt idx="14">
                  <c:v>4.1</c:v>
                </c:pt>
                <c:pt idx="15">
                  <c:v>4.2</c:v>
                </c:pt>
                <c:pt idx="16">
                  <c:v>4.3</c:v>
                </c:pt>
                <c:pt idx="17">
                  <c:v>4.4</c:v>
                </c:pt>
                <c:pt idx="18">
                  <c:v>4.5</c:v>
                </c:pt>
                <c:pt idx="19">
                  <c:v>4.6</c:v>
                </c:pt>
                <c:pt idx="20">
                  <c:v>4.7</c:v>
                </c:pt>
                <c:pt idx="21">
                  <c:v>4.8</c:v>
                </c:pt>
                <c:pt idx="22">
                  <c:v>5</c:v>
                </c:pt>
                <c:pt idx="23">
                  <c:v>(blank)</c:v>
                </c:pt>
              </c:strCache>
            </c:strRef>
          </c:cat>
          <c:val>
            <c:numRef>
              <c:f>PT_6!$B$4:$B$28</c:f>
              <c:numCache>
                <c:formatCode>General</c:formatCode>
                <c:ptCount val="24"/>
                <c:pt idx="0">
                  <c:v>51</c:v>
                </c:pt>
                <c:pt idx="1">
                  <c:v>1</c:v>
                </c:pt>
                <c:pt idx="2">
                  <c:v>2</c:v>
                </c:pt>
                <c:pt idx="3">
                  <c:v>2</c:v>
                </c:pt>
                <c:pt idx="4">
                  <c:v>2</c:v>
                </c:pt>
                <c:pt idx="5">
                  <c:v>1</c:v>
                </c:pt>
                <c:pt idx="6">
                  <c:v>1</c:v>
                </c:pt>
                <c:pt idx="7">
                  <c:v>1</c:v>
                </c:pt>
                <c:pt idx="8">
                  <c:v>1</c:v>
                </c:pt>
                <c:pt idx="9">
                  <c:v>1</c:v>
                </c:pt>
                <c:pt idx="10">
                  <c:v>5</c:v>
                </c:pt>
                <c:pt idx="11">
                  <c:v>1</c:v>
                </c:pt>
                <c:pt idx="12">
                  <c:v>3</c:v>
                </c:pt>
                <c:pt idx="13">
                  <c:v>4</c:v>
                </c:pt>
                <c:pt idx="14">
                  <c:v>3</c:v>
                </c:pt>
                <c:pt idx="15">
                  <c:v>1</c:v>
                </c:pt>
                <c:pt idx="16">
                  <c:v>4</c:v>
                </c:pt>
                <c:pt idx="17">
                  <c:v>1</c:v>
                </c:pt>
                <c:pt idx="18">
                  <c:v>4</c:v>
                </c:pt>
                <c:pt idx="19">
                  <c:v>5</c:v>
                </c:pt>
                <c:pt idx="20">
                  <c:v>4</c:v>
                </c:pt>
                <c:pt idx="21">
                  <c:v>3</c:v>
                </c:pt>
                <c:pt idx="22">
                  <c:v>7</c:v>
                </c:pt>
                <c:pt idx="23">
                  <c:v>1</c:v>
                </c:pt>
              </c:numCache>
            </c:numRef>
          </c:val>
          <c:extLst>
            <c:ext xmlns:c16="http://schemas.microsoft.com/office/drawing/2014/chart" uri="{C3380CC4-5D6E-409C-BE32-E72D297353CC}">
              <c16:uniqueId val="{00000000-43BD-4DAC-8783-91D8259CB983}"/>
            </c:ext>
          </c:extLst>
        </c:ser>
        <c:dLbls>
          <c:showLegendKey val="0"/>
          <c:showVal val="0"/>
          <c:showCatName val="0"/>
          <c:showSerName val="0"/>
          <c:showPercent val="0"/>
          <c:showBubbleSize val="0"/>
        </c:dLbls>
        <c:gapWidth val="182"/>
        <c:axId val="246806719"/>
        <c:axId val="246808799"/>
      </c:barChart>
      <c:catAx>
        <c:axId val="24680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46808799"/>
        <c:crosses val="autoZero"/>
        <c:auto val="1"/>
        <c:lblAlgn val="ctr"/>
        <c:lblOffset val="100"/>
        <c:noMultiLvlLbl val="0"/>
      </c:catAx>
      <c:valAx>
        <c:axId val="246808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4680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[jumia_sales_dashboard.xlsx]PT_7!PivotTable1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Ratings</a:t>
            </a:r>
            <a:r>
              <a:rPr lang="en-US" b="1" baseline="0">
                <a:solidFill>
                  <a:srgbClr val="002060"/>
                </a:solidFill>
              </a:rPr>
              <a:t> by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PT_7!$B$3</c:f>
              <c:strCache>
                <c:ptCount val="1"/>
                <c:pt idx="0">
                  <c:v>Total</c:v>
                </c:pt>
              </c:strCache>
            </c:strRef>
          </c:tx>
          <c:spPr>
            <a:solidFill>
              <a:schemeClr val="accent6">
                <a:lumMod val="60000"/>
                <a:lumOff val="40000"/>
              </a:schemeClr>
            </a:solidFill>
            <a:ln>
              <a:noFill/>
            </a:ln>
            <a:effectLst/>
          </c:spPr>
          <c:invertIfNegative val="0"/>
          <c:cat>
            <c:strRef>
              <c:f>PT_7!$A$4:$A$11</c:f>
              <c:strCache>
                <c:ptCount val="7"/>
                <c:pt idx="0">
                  <c:v>0-9</c:v>
                </c:pt>
                <c:pt idx="1">
                  <c:v>10-19</c:v>
                </c:pt>
                <c:pt idx="2">
                  <c:v>20-29</c:v>
                </c:pt>
                <c:pt idx="3">
                  <c:v>30-39</c:v>
                </c:pt>
                <c:pt idx="4">
                  <c:v>40-49</c:v>
                </c:pt>
                <c:pt idx="5">
                  <c:v>50-59</c:v>
                </c:pt>
                <c:pt idx="6">
                  <c:v>60-69</c:v>
                </c:pt>
              </c:strCache>
            </c:strRef>
          </c:cat>
          <c:val>
            <c:numRef>
              <c:f>PT_7!$B$4:$B$11</c:f>
              <c:numCache>
                <c:formatCode>General</c:formatCode>
                <c:ptCount val="7"/>
                <c:pt idx="0">
                  <c:v>1.5226190476190475</c:v>
                </c:pt>
                <c:pt idx="1">
                  <c:v>3.5928571428571439</c:v>
                </c:pt>
                <c:pt idx="2">
                  <c:v>4.4666666666666659</c:v>
                </c:pt>
                <c:pt idx="3">
                  <c:v>4.5</c:v>
                </c:pt>
                <c:pt idx="4">
                  <c:v>4.5999999999999996</c:v>
                </c:pt>
                <c:pt idx="5">
                  <c:v>4.5999999999999996</c:v>
                </c:pt>
                <c:pt idx="6">
                  <c:v>2.8</c:v>
                </c:pt>
              </c:numCache>
            </c:numRef>
          </c:val>
          <c:extLst>
            <c:ext xmlns:c16="http://schemas.microsoft.com/office/drawing/2014/chart" uri="{C3380CC4-5D6E-409C-BE32-E72D297353CC}">
              <c16:uniqueId val="{00000000-9671-4897-9A55-E1120DA11806}"/>
            </c:ext>
          </c:extLst>
        </c:ser>
        <c:dLbls>
          <c:showLegendKey val="0"/>
          <c:showVal val="0"/>
          <c:showCatName val="0"/>
          <c:showSerName val="0"/>
          <c:showPercent val="0"/>
          <c:showBubbleSize val="0"/>
        </c:dLbls>
        <c:gapWidth val="219"/>
        <c:overlap val="-27"/>
        <c:axId val="607868112"/>
        <c:axId val="769431424"/>
      </c:barChart>
      <c:catAx>
        <c:axId val="60786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9431424"/>
        <c:crosses val="autoZero"/>
        <c:auto val="1"/>
        <c:lblAlgn val="ctr"/>
        <c:lblOffset val="100"/>
        <c:noMultiLvlLbl val="0"/>
      </c:catAx>
      <c:valAx>
        <c:axId val="76943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786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[jumia_sales_dashboard.xlsx]PT_8!PivotTable2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Discount</a:t>
            </a:r>
            <a:r>
              <a:rPr lang="en-US" b="1" baseline="0">
                <a:solidFill>
                  <a:srgbClr val="002060"/>
                </a:solidFill>
              </a:rPr>
              <a:t> Percentage by Reviews</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PT_8!$B$3</c:f>
              <c:strCache>
                <c:ptCount val="1"/>
                <c:pt idx="0">
                  <c:v>Total</c:v>
                </c:pt>
              </c:strCache>
            </c:strRef>
          </c:tx>
          <c:spPr>
            <a:solidFill>
              <a:schemeClr val="accent6">
                <a:lumMod val="60000"/>
                <a:lumOff val="40000"/>
              </a:schemeClr>
            </a:solidFill>
            <a:ln>
              <a:noFill/>
            </a:ln>
            <a:effectLst/>
          </c:spPr>
          <c:invertIfNegative val="0"/>
          <c:cat>
            <c:strRef>
              <c:f>PT_8!$A$4:$A$11</c:f>
              <c:strCache>
                <c:ptCount val="7"/>
                <c:pt idx="0">
                  <c:v>0-9</c:v>
                </c:pt>
                <c:pt idx="1">
                  <c:v>10-19</c:v>
                </c:pt>
                <c:pt idx="2">
                  <c:v>20-29</c:v>
                </c:pt>
                <c:pt idx="3">
                  <c:v>30-39</c:v>
                </c:pt>
                <c:pt idx="4">
                  <c:v>40-49</c:v>
                </c:pt>
                <c:pt idx="5">
                  <c:v>50-59</c:v>
                </c:pt>
                <c:pt idx="6">
                  <c:v>60-69</c:v>
                </c:pt>
              </c:strCache>
            </c:strRef>
          </c:cat>
          <c:val>
            <c:numRef>
              <c:f>PT_8!$B$4:$B$11</c:f>
              <c:numCache>
                <c:formatCode>General</c:formatCode>
                <c:ptCount val="7"/>
                <c:pt idx="0">
                  <c:v>0.36635294117647044</c:v>
                </c:pt>
                <c:pt idx="1">
                  <c:v>0.36499999999999994</c:v>
                </c:pt>
                <c:pt idx="2">
                  <c:v>0.27333333333333337</c:v>
                </c:pt>
                <c:pt idx="3">
                  <c:v>0.34</c:v>
                </c:pt>
                <c:pt idx="4">
                  <c:v>0.42</c:v>
                </c:pt>
                <c:pt idx="5">
                  <c:v>0.24</c:v>
                </c:pt>
                <c:pt idx="6">
                  <c:v>0.49</c:v>
                </c:pt>
              </c:numCache>
            </c:numRef>
          </c:val>
          <c:extLst>
            <c:ext xmlns:c16="http://schemas.microsoft.com/office/drawing/2014/chart" uri="{C3380CC4-5D6E-409C-BE32-E72D297353CC}">
              <c16:uniqueId val="{00000000-DFD1-4248-9BBC-9FCD2B402C23}"/>
            </c:ext>
          </c:extLst>
        </c:ser>
        <c:dLbls>
          <c:showLegendKey val="0"/>
          <c:showVal val="0"/>
          <c:showCatName val="0"/>
          <c:showSerName val="0"/>
          <c:showPercent val="0"/>
          <c:showBubbleSize val="0"/>
        </c:dLbls>
        <c:gapWidth val="219"/>
        <c:overlap val="-27"/>
        <c:axId val="609606560"/>
        <c:axId val="609607392"/>
      </c:barChart>
      <c:catAx>
        <c:axId val="60960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9607392"/>
        <c:crosses val="autoZero"/>
        <c:auto val="1"/>
        <c:lblAlgn val="ctr"/>
        <c:lblOffset val="100"/>
        <c:noMultiLvlLbl val="0"/>
      </c:catAx>
      <c:valAx>
        <c:axId val="60960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0960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[jumia_sales_dashboard.xlsx]PT_9!PivotTable3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rgbClr val="002060"/>
                </a:solidFill>
              </a:rPr>
              <a:t>Top ten</a:t>
            </a:r>
            <a:r>
              <a:rPr lang="en-US" b="0" baseline="0">
                <a:solidFill>
                  <a:srgbClr val="002060"/>
                </a:solidFill>
              </a:rPr>
              <a:t> Products with Highest Discount</a:t>
            </a:r>
            <a:endParaRPr lang="en-US" b="0">
              <a:solidFill>
                <a:srgbClr val="002060"/>
              </a:solidFill>
            </a:endParaRPr>
          </a:p>
        </c:rich>
      </c:tx>
      <c:layout>
        <c:manualLayout>
          <c:xMode val="edge"/>
          <c:yMode val="edge"/>
          <c:x val="0.1819273009868179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PT_9!$B$3</c:f>
              <c:strCache>
                <c:ptCount val="1"/>
                <c:pt idx="0">
                  <c:v>Total</c:v>
                </c:pt>
              </c:strCache>
            </c:strRef>
          </c:tx>
          <c:spPr>
            <a:solidFill>
              <a:schemeClr val="accent6"/>
            </a:solidFill>
            <a:ln>
              <a:noFill/>
            </a:ln>
            <a:effectLst/>
          </c:spPr>
          <c:invertIfNegative val="0"/>
          <c:cat>
            <c:strRef>
              <c:f>PT_9!$A$4:$A$14</c:f>
              <c:strCache>
                <c:ptCount val="10"/>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strCache>
            </c:strRef>
          </c:cat>
          <c:val>
            <c:numRef>
              <c:f>PT_9!$B$4:$B$14</c:f>
              <c:numCache>
                <c:formatCode>General</c:formatCode>
                <c:ptCount val="10"/>
                <c:pt idx="0">
                  <c:v>0.38</c:v>
                </c:pt>
                <c:pt idx="1">
                  <c:v>0.34</c:v>
                </c:pt>
                <c:pt idx="2">
                  <c:v>0.38</c:v>
                </c:pt>
                <c:pt idx="3">
                  <c:v>0.32</c:v>
                </c:pt>
                <c:pt idx="4">
                  <c:v>0.34</c:v>
                </c:pt>
                <c:pt idx="5">
                  <c:v>0.49</c:v>
                </c:pt>
                <c:pt idx="6">
                  <c:v>0.27</c:v>
                </c:pt>
                <c:pt idx="7">
                  <c:v>0.45</c:v>
                </c:pt>
                <c:pt idx="8">
                  <c:v>0.24</c:v>
                </c:pt>
                <c:pt idx="9">
                  <c:v>0.24</c:v>
                </c:pt>
              </c:numCache>
            </c:numRef>
          </c:val>
          <c:extLst>
            <c:ext xmlns:c16="http://schemas.microsoft.com/office/drawing/2014/chart" uri="{C3380CC4-5D6E-409C-BE32-E72D297353CC}">
              <c16:uniqueId val="{00000000-0564-4CD0-BC58-DC4F84E7DDD2}"/>
            </c:ext>
          </c:extLst>
        </c:ser>
        <c:dLbls>
          <c:showLegendKey val="0"/>
          <c:showVal val="0"/>
          <c:showCatName val="0"/>
          <c:showSerName val="0"/>
          <c:showPercent val="0"/>
          <c:showBubbleSize val="0"/>
        </c:dLbls>
        <c:gapWidth val="182"/>
        <c:axId val="824364496"/>
        <c:axId val="824365328"/>
      </c:barChart>
      <c:catAx>
        <c:axId val="82436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365328"/>
        <c:crosses val="autoZero"/>
        <c:auto val="1"/>
        <c:lblAlgn val="ctr"/>
        <c:lblOffset val="100"/>
        <c:noMultiLvlLbl val="0"/>
      </c:catAx>
      <c:valAx>
        <c:axId val="82436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36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[jumia_sales_dashboard.xlsx]PT_10!PivotTable4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a:t>
            </a:r>
            <a:r>
              <a:rPr lang="en-US" b="1" baseline="0">
                <a:solidFill>
                  <a:srgbClr val="002060"/>
                </a:solidFill>
              </a:rPr>
              <a:t> ten Products by Reviews</a:t>
            </a:r>
            <a:endParaRPr lang="en-US" b="1">
              <a:solidFill>
                <a:srgbClr val="002060"/>
              </a:solidFill>
            </a:endParaRPr>
          </a:p>
        </c:rich>
      </c:tx>
      <c:layout>
        <c:manualLayout>
          <c:xMode val="edge"/>
          <c:yMode val="edge"/>
          <c:x val="0.2583941713168206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PT_10!$B$3</c:f>
              <c:strCache>
                <c:ptCount val="1"/>
                <c:pt idx="0">
                  <c:v>Total</c:v>
                </c:pt>
              </c:strCache>
            </c:strRef>
          </c:tx>
          <c:spPr>
            <a:solidFill>
              <a:schemeClr val="accent6">
                <a:lumMod val="60000"/>
                <a:lumOff val="40000"/>
              </a:schemeClr>
            </a:solidFill>
            <a:ln>
              <a:noFill/>
            </a:ln>
            <a:effectLst/>
          </c:spPr>
          <c:invertIfNegative val="0"/>
          <c:cat>
            <c:strRef>
              <c:f>PT_10!$A$4:$A$14</c:f>
              <c:strCache>
                <c:ptCount val="10"/>
                <c:pt idx="0">
                  <c:v>100 Pcs Crochet Hook Tool Set Knitting Hook Set With Box</c:v>
                </c:pt>
                <c:pt idx="1">
                  <c:v>120W Cordless Vacuum Cleaners Handheld Electric Vacuum Cleaner</c:v>
                </c:pt>
                <c:pt idx="2">
                  <c:v>137 Pieces Cake Decorating Tool Set Baking Supplies</c:v>
                </c:pt>
                <c:pt idx="3">
                  <c:v>220V 60W Electric Soldering Iron Kits With Tools, Tips, And Multimeter</c:v>
                </c:pt>
                <c:pt idx="4">
                  <c:v>3D Waterproof EVA Plastic Shower Curtain 1.8*2Mtrs</c:v>
                </c:pt>
                <c:pt idx="5">
                  <c:v>Electronic Digital Display Vernier Caliper</c:v>
                </c:pt>
                <c:pt idx="6">
                  <c:v>Intelligent  LED Body Sensor Wireless Lighting Night Light USB</c:v>
                </c:pt>
                <c:pt idx="7">
                  <c:v>Portable Mini Cordless Car Vacuum Cleaner - Blue</c:v>
                </c:pt>
                <c:pt idx="8">
                  <c:v>Punch-free Great Load Bearing Bathroom Storage Rack Wall Shelf-White</c:v>
                </c:pt>
                <c:pt idx="9">
                  <c:v>VIC Wireless Vacuum Cleaner Dual Use For Home And Car 120W High Power Powerful</c:v>
                </c:pt>
              </c:strCache>
            </c:strRef>
          </c:cat>
          <c:val>
            <c:numRef>
              <c:f>PT_10!$B$4:$B$14</c:f>
              <c:numCache>
                <c:formatCode>General</c:formatCode>
                <c:ptCount val="10"/>
                <c:pt idx="0">
                  <c:v>39</c:v>
                </c:pt>
                <c:pt idx="1">
                  <c:v>69</c:v>
                </c:pt>
                <c:pt idx="2">
                  <c:v>55</c:v>
                </c:pt>
                <c:pt idx="3">
                  <c:v>15</c:v>
                </c:pt>
                <c:pt idx="4">
                  <c:v>44</c:v>
                </c:pt>
                <c:pt idx="5">
                  <c:v>49</c:v>
                </c:pt>
                <c:pt idx="6">
                  <c:v>15</c:v>
                </c:pt>
                <c:pt idx="7">
                  <c:v>24</c:v>
                </c:pt>
                <c:pt idx="8">
                  <c:v>36</c:v>
                </c:pt>
                <c:pt idx="9">
                  <c:v>16</c:v>
                </c:pt>
              </c:numCache>
            </c:numRef>
          </c:val>
          <c:extLst>
            <c:ext xmlns:c16="http://schemas.microsoft.com/office/drawing/2014/chart" uri="{C3380CC4-5D6E-409C-BE32-E72D297353CC}">
              <c16:uniqueId val="{00000000-748C-43E7-9DAA-F9EF8A685453}"/>
            </c:ext>
          </c:extLst>
        </c:ser>
        <c:dLbls>
          <c:showLegendKey val="0"/>
          <c:showVal val="0"/>
          <c:showCatName val="0"/>
          <c:showSerName val="0"/>
          <c:showPercent val="0"/>
          <c:showBubbleSize val="0"/>
        </c:dLbls>
        <c:gapWidth val="219"/>
        <c:overlap val="-27"/>
        <c:axId val="833212592"/>
        <c:axId val="833213008"/>
      </c:barChart>
      <c:catAx>
        <c:axId val="83321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3213008"/>
        <c:crosses val="autoZero"/>
        <c:auto val="1"/>
        <c:lblAlgn val="ctr"/>
        <c:lblOffset val="100"/>
        <c:noMultiLvlLbl val="0"/>
      </c:catAx>
      <c:valAx>
        <c:axId val="83321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321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[jumia_sales_dashboard.xlsx]PT_11!PivotTable5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a:t>
            </a:r>
            <a:r>
              <a:rPr lang="en-US" b="1" baseline="0">
                <a:solidFill>
                  <a:srgbClr val="002060"/>
                </a:solidFill>
              </a:rPr>
              <a:t> five Products by Rating</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PT_11!$B$3</c:f>
              <c:strCache>
                <c:ptCount val="1"/>
                <c:pt idx="0">
                  <c:v>Total</c:v>
                </c:pt>
              </c:strCache>
            </c:strRef>
          </c:tx>
          <c:spPr>
            <a:solidFill>
              <a:schemeClr val="accent6">
                <a:lumMod val="60000"/>
                <a:lumOff val="40000"/>
              </a:schemeClr>
            </a:solidFill>
            <a:ln>
              <a:noFill/>
            </a:ln>
            <a:effectLst/>
          </c:spPr>
          <c:invertIfNegative val="0"/>
          <c:cat>
            <c:strRef>
              <c:f>PT_11!$A$4:$A$9</c:f>
              <c:strCache>
                <c:ptCount val="5"/>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strCache>
            </c:strRef>
          </c:cat>
          <c:val>
            <c:numRef>
              <c:f>PT_11!$B$4:$B$9</c:f>
              <c:numCache>
                <c:formatCode>General</c:formatCode>
                <c:ptCount val="5"/>
                <c:pt idx="0">
                  <c:v>4.5</c:v>
                </c:pt>
                <c:pt idx="1">
                  <c:v>4.7</c:v>
                </c:pt>
                <c:pt idx="2">
                  <c:v>4.5</c:v>
                </c:pt>
                <c:pt idx="3">
                  <c:v>3.8</c:v>
                </c:pt>
                <c:pt idx="4">
                  <c:v>4.7</c:v>
                </c:pt>
              </c:numCache>
            </c:numRef>
          </c:val>
          <c:extLst>
            <c:ext xmlns:c16="http://schemas.microsoft.com/office/drawing/2014/chart" uri="{C3380CC4-5D6E-409C-BE32-E72D297353CC}">
              <c16:uniqueId val="{00000000-1136-4482-8A65-CDF44AF47254}"/>
            </c:ext>
          </c:extLst>
        </c:ser>
        <c:dLbls>
          <c:showLegendKey val="0"/>
          <c:showVal val="0"/>
          <c:showCatName val="0"/>
          <c:showSerName val="0"/>
          <c:showPercent val="0"/>
          <c:showBubbleSize val="0"/>
        </c:dLbls>
        <c:gapWidth val="219"/>
        <c:overlap val="-27"/>
        <c:axId val="812782608"/>
        <c:axId val="812783440"/>
      </c:barChart>
      <c:catAx>
        <c:axId val="81278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12783440"/>
        <c:crosses val="autoZero"/>
        <c:auto val="1"/>
        <c:lblAlgn val="ctr"/>
        <c:lblOffset val="100"/>
        <c:noMultiLvlLbl val="0"/>
      </c:catAx>
      <c:valAx>
        <c:axId val="81278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1278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[jumia_sales_dashboard.xlsx]PT_12!PivotTable6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Sum</a:t>
            </a:r>
            <a:r>
              <a:rPr lang="en-US" b="1" baseline="0">
                <a:solidFill>
                  <a:srgbClr val="002060"/>
                </a:solidFill>
              </a:rPr>
              <a:t> of Rating by Review and Rating Category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PT_12!$B$3</c:f>
              <c:strCache>
                <c:ptCount val="1"/>
                <c:pt idx="0">
                  <c:v>Total</c:v>
                </c:pt>
              </c:strCache>
            </c:strRef>
          </c:tx>
          <c:spPr>
            <a:solidFill>
              <a:schemeClr val="accent6">
                <a:lumMod val="75000"/>
              </a:schemeClr>
            </a:solidFill>
            <a:ln>
              <a:noFill/>
            </a:ln>
            <a:effectLst/>
          </c:spPr>
          <c:invertIfNegative val="0"/>
          <c:cat>
            <c:multiLvlStrRef>
              <c:f>PT_12!$A$4:$A$24</c:f>
              <c:multiLvlStrCache>
                <c:ptCount val="13"/>
                <c:lvl>
                  <c:pt idx="0">
                    <c:v>average</c:v>
                  </c:pt>
                  <c:pt idx="1">
                    <c:v>excellent</c:v>
                  </c:pt>
                  <c:pt idx="2">
                    <c:v>poor</c:v>
                  </c:pt>
                  <c:pt idx="3">
                    <c:v>average</c:v>
                  </c:pt>
                  <c:pt idx="4">
                    <c:v>excellent</c:v>
                  </c:pt>
                  <c:pt idx="5">
                    <c:v>poor</c:v>
                  </c:pt>
                  <c:pt idx="6">
                    <c:v>average</c:v>
                  </c:pt>
                  <c:pt idx="7">
                    <c:v>excellent</c:v>
                  </c:pt>
                  <c:pt idx="8">
                    <c:v>average</c:v>
                  </c:pt>
                  <c:pt idx="9">
                    <c:v>excellent</c:v>
                  </c:pt>
                  <c:pt idx="10">
                    <c:v>excellent</c:v>
                  </c:pt>
                  <c:pt idx="11">
                    <c:v>excellent</c:v>
                  </c:pt>
                  <c:pt idx="12">
                    <c:v>poor</c:v>
                  </c:pt>
                </c:lvl>
                <c:lvl>
                  <c:pt idx="0">
                    <c:v>0-9</c:v>
                  </c:pt>
                  <c:pt idx="3">
                    <c:v>10-19</c:v>
                  </c:pt>
                  <c:pt idx="6">
                    <c:v>20-29</c:v>
                  </c:pt>
                  <c:pt idx="8">
                    <c:v>30-39</c:v>
                  </c:pt>
                  <c:pt idx="10">
                    <c:v>40-49</c:v>
                  </c:pt>
                  <c:pt idx="11">
                    <c:v>50-59</c:v>
                  </c:pt>
                  <c:pt idx="12">
                    <c:v>60-69</c:v>
                  </c:pt>
                </c:lvl>
              </c:multiLvlStrCache>
            </c:multiLvlStrRef>
          </c:cat>
          <c:val>
            <c:numRef>
              <c:f>PT_12!$B$4:$B$24</c:f>
              <c:numCache>
                <c:formatCode>General</c:formatCode>
                <c:ptCount val="13"/>
                <c:pt idx="0">
                  <c:v>44.900000000000006</c:v>
                </c:pt>
                <c:pt idx="1">
                  <c:v>67.400000000000006</c:v>
                </c:pt>
                <c:pt idx="2">
                  <c:v>15.6</c:v>
                </c:pt>
                <c:pt idx="3">
                  <c:v>30.5</c:v>
                </c:pt>
                <c:pt idx="4">
                  <c:v>9.5</c:v>
                </c:pt>
                <c:pt idx="5">
                  <c:v>10.3</c:v>
                </c:pt>
                <c:pt idx="6">
                  <c:v>4.0999999999999996</c:v>
                </c:pt>
                <c:pt idx="7">
                  <c:v>9.3000000000000007</c:v>
                </c:pt>
                <c:pt idx="8">
                  <c:v>4.3</c:v>
                </c:pt>
                <c:pt idx="9">
                  <c:v>9.1999999999999993</c:v>
                </c:pt>
                <c:pt idx="10">
                  <c:v>9.1999999999999993</c:v>
                </c:pt>
                <c:pt idx="11">
                  <c:v>4.5999999999999996</c:v>
                </c:pt>
                <c:pt idx="12">
                  <c:v>2.8</c:v>
                </c:pt>
              </c:numCache>
            </c:numRef>
          </c:val>
          <c:extLst>
            <c:ext xmlns:c16="http://schemas.microsoft.com/office/drawing/2014/chart" uri="{C3380CC4-5D6E-409C-BE32-E72D297353CC}">
              <c16:uniqueId val="{00000000-E7F8-494F-A49D-62F50238993E}"/>
            </c:ext>
          </c:extLst>
        </c:ser>
        <c:dLbls>
          <c:showLegendKey val="0"/>
          <c:showVal val="0"/>
          <c:showCatName val="0"/>
          <c:showSerName val="0"/>
          <c:showPercent val="0"/>
          <c:showBubbleSize val="0"/>
        </c:dLbls>
        <c:gapWidth val="219"/>
        <c:overlap val="-27"/>
        <c:axId val="773038400"/>
        <c:axId val="773058784"/>
      </c:barChart>
      <c:catAx>
        <c:axId val="77303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73058784"/>
        <c:crosses val="autoZero"/>
        <c:auto val="1"/>
        <c:lblAlgn val="ctr"/>
        <c:lblOffset val="100"/>
        <c:noMultiLvlLbl val="0"/>
      </c:catAx>
      <c:valAx>
        <c:axId val="77305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7303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Reversed" id="26">
  <a:schemeClr val="accent6"/>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Reversed" id="26">
  <a:schemeClr val="accent6"/>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editAs="oneCell">
    <xdr:from>
      <xdr:col>4</xdr:col>
      <xdr:colOff>374650</xdr:colOff>
      <xdr:row>1</xdr:row>
      <xdr:rowOff>31750</xdr:rowOff>
    </xdr:from>
    <xdr:to>
      <xdr:col>7</xdr:col>
      <xdr:colOff>374650</xdr:colOff>
      <xdr:row>14</xdr:row>
      <xdr:rowOff>161925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896EE287-7E71-EC71-4BE6-A0D137034F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248150" y="215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69850</xdr:colOff>
      <xdr:row>0</xdr:row>
      <xdr:rowOff>44450</xdr:rowOff>
    </xdr:from>
    <xdr:to>
      <xdr:col>12</xdr:col>
      <xdr:colOff>69850</xdr:colOff>
      <xdr:row>13</xdr:row>
      <xdr:rowOff>174625</xdr:rowOff>
    </xdr:to>
    <mc:AlternateContent xmlns:mc="http://schemas.openxmlformats.org/markup-compatibility/2006" xmlns:a14="http://schemas.microsoft.com/office/drawing/2010/main">
      <mc:Choice Requires="a14">
        <xdr:graphicFrame macro="">
          <xdr:nvGraphicFramePr>
            <xdr:cNvPr id="3" name="Discount">
              <a:extLst>
                <a:ext uri="{FF2B5EF4-FFF2-40B4-BE49-F238E27FC236}">
                  <a16:creationId xmlns:a16="http://schemas.microsoft.com/office/drawing/2014/main" id="{2CD92775-9361-22F9-44B6-E1C16A77FDB2}"/>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6991350" y="44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488950</xdr:colOff>
      <xdr:row>1</xdr:row>
      <xdr:rowOff>133350</xdr:rowOff>
    </xdr:from>
    <xdr:to>
      <xdr:col>15</xdr:col>
      <xdr:colOff>488950</xdr:colOff>
      <xdr:row>15</xdr:row>
      <xdr:rowOff>79375</xdr:rowOff>
    </xdr:to>
    <mc:AlternateContent xmlns:mc="http://schemas.openxmlformats.org/markup-compatibility/2006" xmlns:a14="http://schemas.microsoft.com/office/drawing/2010/main">
      <mc:Choice Requires="a14">
        <xdr:graphicFrame macro="">
          <xdr:nvGraphicFramePr>
            <xdr:cNvPr id="5" name="Ratingd 2">
              <a:extLst>
                <a:ext uri="{FF2B5EF4-FFF2-40B4-BE49-F238E27FC236}">
                  <a16:creationId xmlns:a16="http://schemas.microsoft.com/office/drawing/2014/main" id="{67056764-1D44-7DDC-86FB-A151BFDCBF2A}"/>
                </a:ext>
              </a:extLst>
            </xdr:cNvPr>
            <xdr:cNvGraphicFramePr/>
          </xdr:nvGraphicFramePr>
          <xdr:xfrm>
            <a:off x="0" y="0"/>
            <a:ext cx="0" cy="0"/>
          </xdr:xfrm>
          <a:graphic>
            <a:graphicData uri="http://schemas.microsoft.com/office/drawing/2010/slicer">
              <sle:slicer xmlns:sle="http://schemas.microsoft.com/office/drawing/2010/slicer" name="Ratingd 2"/>
            </a:graphicData>
          </a:graphic>
        </xdr:graphicFrame>
      </mc:Choice>
      <mc:Fallback xmlns="">
        <xdr:sp macro="" textlink="">
          <xdr:nvSpPr>
            <xdr:cNvPr id="0" name=""/>
            <xdr:cNvSpPr>
              <a:spLocks noTextEdit="1"/>
            </xdr:cNvSpPr>
          </xdr:nvSpPr>
          <xdr:spPr>
            <a:xfrm>
              <a:off x="9239250" y="317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482600</xdr:colOff>
      <xdr:row>1</xdr:row>
      <xdr:rowOff>0</xdr:rowOff>
    </xdr:from>
    <xdr:to>
      <xdr:col>10</xdr:col>
      <xdr:colOff>177800</xdr:colOff>
      <xdr:row>14</xdr:row>
      <xdr:rowOff>101600</xdr:rowOff>
    </xdr:to>
    <xdr:graphicFrame macro="">
      <xdr:nvGraphicFramePr>
        <xdr:cNvPr id="2" name="Chart 1">
          <a:extLst>
            <a:ext uri="{FF2B5EF4-FFF2-40B4-BE49-F238E27FC236}">
              <a16:creationId xmlns:a16="http://schemas.microsoft.com/office/drawing/2014/main" id="{D0986D14-12EB-A2E3-16D6-DC4D3AB26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457200</xdr:colOff>
      <xdr:row>2</xdr:row>
      <xdr:rowOff>88900</xdr:rowOff>
    </xdr:from>
    <xdr:to>
      <xdr:col>11</xdr:col>
      <xdr:colOff>101600</xdr:colOff>
      <xdr:row>14</xdr:row>
      <xdr:rowOff>95250</xdr:rowOff>
    </xdr:to>
    <xdr:graphicFrame macro="">
      <xdr:nvGraphicFramePr>
        <xdr:cNvPr id="2" name="Chart 1">
          <a:extLst>
            <a:ext uri="{FF2B5EF4-FFF2-40B4-BE49-F238E27FC236}">
              <a16:creationId xmlns:a16="http://schemas.microsoft.com/office/drawing/2014/main" id="{066763FA-67D2-BEFB-4551-C3971867A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514350</xdr:colOff>
      <xdr:row>1</xdr:row>
      <xdr:rowOff>127000</xdr:rowOff>
    </xdr:from>
    <xdr:to>
      <xdr:col>18</xdr:col>
      <xdr:colOff>568325</xdr:colOff>
      <xdr:row>13</xdr:row>
      <xdr:rowOff>161925</xdr:rowOff>
    </xdr:to>
    <xdr:graphicFrame macro="">
      <xdr:nvGraphicFramePr>
        <xdr:cNvPr id="3" name="Chart 2">
          <a:extLst>
            <a:ext uri="{FF2B5EF4-FFF2-40B4-BE49-F238E27FC236}">
              <a16:creationId xmlns:a16="http://schemas.microsoft.com/office/drawing/2014/main" id="{F030D89E-87D6-4354-BD1C-47A6BB4A6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285750</xdr:colOff>
      <xdr:row>2</xdr:row>
      <xdr:rowOff>44450</xdr:rowOff>
    </xdr:from>
    <xdr:to>
      <xdr:col>7</xdr:col>
      <xdr:colOff>285750</xdr:colOff>
      <xdr:row>15</xdr:row>
      <xdr:rowOff>174625</xdr:rowOff>
    </xdr:to>
    <mc:AlternateContent xmlns:mc="http://schemas.openxmlformats.org/markup-compatibility/2006" xmlns:a14="http://schemas.microsoft.com/office/drawing/2010/main">
      <mc:Choice Requires="a14">
        <xdr:graphicFrame macro="">
          <xdr:nvGraphicFramePr>
            <xdr:cNvPr id="2" name="Review 1">
              <a:extLst>
                <a:ext uri="{FF2B5EF4-FFF2-40B4-BE49-F238E27FC236}">
                  <a16:creationId xmlns:a16="http://schemas.microsoft.com/office/drawing/2014/main" id="{07B158E2-38BA-B4BB-DC93-5B3D84098C74}"/>
                </a:ext>
              </a:extLst>
            </xdr:cNvPr>
            <xdr:cNvGraphicFramePr/>
          </xdr:nvGraphicFramePr>
          <xdr:xfrm>
            <a:off x="0" y="0"/>
            <a:ext cx="0" cy="0"/>
          </xdr:xfrm>
          <a:graphic>
            <a:graphicData uri="http://schemas.microsoft.com/office/drawing/2010/slicer">
              <sle:slicer xmlns:sle="http://schemas.microsoft.com/office/drawing/2010/slicer" name="Review 1"/>
            </a:graphicData>
          </a:graphic>
        </xdr:graphicFrame>
      </mc:Choice>
      <mc:Fallback xmlns="">
        <xdr:sp macro="" textlink="">
          <xdr:nvSpPr>
            <xdr:cNvPr id="0" name=""/>
            <xdr:cNvSpPr>
              <a:spLocks noTextEdit="1"/>
            </xdr:cNvSpPr>
          </xdr:nvSpPr>
          <xdr:spPr>
            <a:xfrm>
              <a:off x="3416300" y="412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187325</xdr:colOff>
      <xdr:row>2</xdr:row>
      <xdr:rowOff>0</xdr:rowOff>
    </xdr:from>
    <xdr:to>
      <xdr:col>9</xdr:col>
      <xdr:colOff>492125</xdr:colOff>
      <xdr:row>16</xdr:row>
      <xdr:rowOff>165100</xdr:rowOff>
    </xdr:to>
    <xdr:graphicFrame macro="">
      <xdr:nvGraphicFramePr>
        <xdr:cNvPr id="2" name="Chart 1">
          <a:extLst>
            <a:ext uri="{FF2B5EF4-FFF2-40B4-BE49-F238E27FC236}">
              <a16:creationId xmlns:a16="http://schemas.microsoft.com/office/drawing/2014/main" id="{1C74238A-3EFA-50F4-BA2F-B200B4314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2035175</xdr:colOff>
      <xdr:row>1</xdr:row>
      <xdr:rowOff>82550</xdr:rowOff>
    </xdr:from>
    <xdr:to>
      <xdr:col>4</xdr:col>
      <xdr:colOff>180975</xdr:colOff>
      <xdr:row>16</xdr:row>
      <xdr:rowOff>63500</xdr:rowOff>
    </xdr:to>
    <xdr:graphicFrame macro="">
      <xdr:nvGraphicFramePr>
        <xdr:cNvPr id="2" name="Chart 1">
          <a:extLst>
            <a:ext uri="{FF2B5EF4-FFF2-40B4-BE49-F238E27FC236}">
              <a16:creationId xmlns:a16="http://schemas.microsoft.com/office/drawing/2014/main" id="{76D770E0-F6F9-70E2-FEAA-350618112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593725</xdr:colOff>
      <xdr:row>1</xdr:row>
      <xdr:rowOff>44450</xdr:rowOff>
    </xdr:from>
    <xdr:to>
      <xdr:col>10</xdr:col>
      <xdr:colOff>288925</xdr:colOff>
      <xdr:row>16</xdr:row>
      <xdr:rowOff>25400</xdr:rowOff>
    </xdr:to>
    <xdr:graphicFrame macro="">
      <xdr:nvGraphicFramePr>
        <xdr:cNvPr id="2" name="Chart 1">
          <a:extLst>
            <a:ext uri="{FF2B5EF4-FFF2-40B4-BE49-F238E27FC236}">
              <a16:creationId xmlns:a16="http://schemas.microsoft.com/office/drawing/2014/main" id="{51BD10C6-DB7F-F4AF-885E-C046824AD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241300</xdr:colOff>
      <xdr:row>0</xdr:row>
      <xdr:rowOff>101600</xdr:rowOff>
    </xdr:from>
    <xdr:to>
      <xdr:col>11</xdr:col>
      <xdr:colOff>241300</xdr:colOff>
      <xdr:row>14</xdr:row>
      <xdr:rowOff>47625</xdr:rowOff>
    </xdr:to>
    <mc:AlternateContent xmlns:mc="http://schemas.openxmlformats.org/markup-compatibility/2006" xmlns:a14="http://schemas.microsoft.com/office/drawing/2010/main">
      <mc:Choice Requires="a14">
        <xdr:graphicFrame macro="">
          <xdr:nvGraphicFramePr>
            <xdr:cNvPr id="3" name="Review">
              <a:extLst>
                <a:ext uri="{FF2B5EF4-FFF2-40B4-BE49-F238E27FC236}">
                  <a16:creationId xmlns:a16="http://schemas.microsoft.com/office/drawing/2014/main" id="{80ACD7CA-52BB-AC8F-34DB-42DB753E9C98}"/>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6229350" y="10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95250</xdr:colOff>
      <xdr:row>0</xdr:row>
      <xdr:rowOff>6350</xdr:rowOff>
    </xdr:from>
    <xdr:to>
      <xdr:col>8</xdr:col>
      <xdr:colOff>95250</xdr:colOff>
      <xdr:row>13</xdr:row>
      <xdr:rowOff>136525</xdr:rowOff>
    </xdr:to>
    <mc:AlternateContent xmlns:mc="http://schemas.openxmlformats.org/markup-compatibility/2006" xmlns:a14="http://schemas.microsoft.com/office/drawing/2010/main">
      <mc:Choice Requires="a14">
        <xdr:graphicFrame macro="">
          <xdr:nvGraphicFramePr>
            <xdr:cNvPr id="4" name="Ratingd">
              <a:extLst>
                <a:ext uri="{FF2B5EF4-FFF2-40B4-BE49-F238E27FC236}">
                  <a16:creationId xmlns:a16="http://schemas.microsoft.com/office/drawing/2014/main" id="{8DE9A7A4-2835-A9A5-E8C7-002235A32CBE}"/>
                </a:ext>
              </a:extLst>
            </xdr:cNvPr>
            <xdr:cNvGraphicFramePr/>
          </xdr:nvGraphicFramePr>
          <xdr:xfrm>
            <a:off x="0" y="0"/>
            <a:ext cx="0" cy="0"/>
          </xdr:xfrm>
          <a:graphic>
            <a:graphicData uri="http://schemas.microsoft.com/office/drawing/2010/slicer">
              <sle:slicer xmlns:sle="http://schemas.microsoft.com/office/drawing/2010/slicer" name="Ratingd"/>
            </a:graphicData>
          </a:graphic>
        </xdr:graphicFrame>
      </mc:Choice>
      <mc:Fallback xmlns="">
        <xdr:sp macro="" textlink="">
          <xdr:nvSpPr>
            <xdr:cNvPr id="0" name=""/>
            <xdr:cNvSpPr>
              <a:spLocks noTextEdit="1"/>
            </xdr:cNvSpPr>
          </xdr:nvSpPr>
          <xdr:spPr>
            <a:xfrm>
              <a:off x="4254500" y="6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161925</xdr:colOff>
      <xdr:row>1</xdr:row>
      <xdr:rowOff>4762</xdr:rowOff>
    </xdr:from>
    <xdr:to>
      <xdr:col>9</xdr:col>
      <xdr:colOff>466725</xdr:colOff>
      <xdr:row>15</xdr:row>
      <xdr:rowOff>80962</xdr:rowOff>
    </xdr:to>
    <xdr:graphicFrame macro="">
      <xdr:nvGraphicFramePr>
        <xdr:cNvPr id="2" name="Chart 1">
          <a:extLst>
            <a:ext uri="{FF2B5EF4-FFF2-40B4-BE49-F238E27FC236}">
              <a16:creationId xmlns:a16="http://schemas.microsoft.com/office/drawing/2014/main" id="{831D70E7-645D-4D97-B26A-62809E183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95250</xdr:colOff>
      <xdr:row>9</xdr:row>
      <xdr:rowOff>180975</xdr:rowOff>
    </xdr:from>
    <xdr:to>
      <xdr:col>13</xdr:col>
      <xdr:colOff>95250</xdr:colOff>
      <xdr:row>23</xdr:row>
      <xdr:rowOff>38100</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05E0A249-A970-4B71-8590-AE8F9839567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915150" y="189547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8</xdr:row>
      <xdr:rowOff>133350</xdr:rowOff>
    </xdr:from>
    <xdr:to>
      <xdr:col>1</xdr:col>
      <xdr:colOff>1028700</xdr:colOff>
      <xdr:row>21</xdr:row>
      <xdr:rowOff>180975</xdr:rowOff>
    </xdr:to>
    <mc:AlternateContent xmlns:mc="http://schemas.openxmlformats.org/markup-compatibility/2006" xmlns:a14="http://schemas.microsoft.com/office/drawing/2010/main">
      <mc:Choice Requires="a14">
        <xdr:graphicFrame macro="">
          <xdr:nvGraphicFramePr>
            <xdr:cNvPr id="4" name="Review 2">
              <a:extLst>
                <a:ext uri="{FF2B5EF4-FFF2-40B4-BE49-F238E27FC236}">
                  <a16:creationId xmlns:a16="http://schemas.microsoft.com/office/drawing/2014/main" id="{84122F2F-4C30-49ED-B3B0-5681F3DCC547}"/>
                </a:ext>
              </a:extLst>
            </xdr:cNvPr>
            <xdr:cNvGraphicFramePr/>
          </xdr:nvGraphicFramePr>
          <xdr:xfrm>
            <a:off x="0" y="0"/>
            <a:ext cx="0" cy="0"/>
          </xdr:xfrm>
          <a:graphic>
            <a:graphicData uri="http://schemas.microsoft.com/office/drawing/2010/slicer">
              <sle:slicer xmlns:sle="http://schemas.microsoft.com/office/drawing/2010/slicer" name="Review 2"/>
            </a:graphicData>
          </a:graphic>
        </xdr:graphicFrame>
      </mc:Choice>
      <mc:Fallback xmlns="">
        <xdr:sp macro="" textlink="">
          <xdr:nvSpPr>
            <xdr:cNvPr id="0" name=""/>
            <xdr:cNvSpPr>
              <a:spLocks noTextEdit="1"/>
            </xdr:cNvSpPr>
          </xdr:nvSpPr>
          <xdr:spPr>
            <a:xfrm>
              <a:off x="76200" y="16573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561975</xdr:colOff>
      <xdr:row>1</xdr:row>
      <xdr:rowOff>104776</xdr:rowOff>
    </xdr:from>
    <xdr:to>
      <xdr:col>14</xdr:col>
      <xdr:colOff>561975</xdr:colOff>
      <xdr:row>8</xdr:row>
      <xdr:rowOff>104776</xdr:rowOff>
    </xdr:to>
    <mc:AlternateContent xmlns:mc="http://schemas.openxmlformats.org/markup-compatibility/2006" xmlns:a14="http://schemas.microsoft.com/office/drawing/2010/main">
      <mc:Choice Requires="a14">
        <xdr:graphicFrame macro="">
          <xdr:nvGraphicFramePr>
            <xdr:cNvPr id="5" name="Rating Category">
              <a:extLst>
                <a:ext uri="{FF2B5EF4-FFF2-40B4-BE49-F238E27FC236}">
                  <a16:creationId xmlns:a16="http://schemas.microsoft.com/office/drawing/2014/main" id="{450050F7-3962-414B-9B8B-C7D7BC7AB8A8}"/>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7991475" y="295276"/>
              <a:ext cx="1828800" cy="1333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561975</xdr:colOff>
      <xdr:row>3</xdr:row>
      <xdr:rowOff>61912</xdr:rowOff>
    </xdr:from>
    <xdr:to>
      <xdr:col>10</xdr:col>
      <xdr:colOff>257175</xdr:colOff>
      <xdr:row>17</xdr:row>
      <xdr:rowOff>138112</xdr:rowOff>
    </xdr:to>
    <xdr:graphicFrame macro="">
      <xdr:nvGraphicFramePr>
        <xdr:cNvPr id="2" name="Chart 1">
          <a:extLst>
            <a:ext uri="{FF2B5EF4-FFF2-40B4-BE49-F238E27FC236}">
              <a16:creationId xmlns:a16="http://schemas.microsoft.com/office/drawing/2014/main" id="{9475AE7D-C0A1-4770-9FA9-36F3E3B21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8</xdr:row>
      <xdr:rowOff>38100</xdr:rowOff>
    </xdr:from>
    <xdr:to>
      <xdr:col>1</xdr:col>
      <xdr:colOff>952500</xdr:colOff>
      <xdr:row>14</xdr:row>
      <xdr:rowOff>142875</xdr:rowOff>
    </xdr:to>
    <mc:AlternateContent xmlns:mc="http://schemas.openxmlformats.org/markup-compatibility/2006" xmlns:a14="http://schemas.microsoft.com/office/drawing/2010/main">
      <mc:Choice Requires="a14">
        <xdr:graphicFrame macro="">
          <xdr:nvGraphicFramePr>
            <xdr:cNvPr id="3" name="Discount category">
              <a:extLst>
                <a:ext uri="{FF2B5EF4-FFF2-40B4-BE49-F238E27FC236}">
                  <a16:creationId xmlns:a16="http://schemas.microsoft.com/office/drawing/2014/main" id="{7C3FD16A-A519-4F11-B913-216148391BA7}"/>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0" y="1562100"/>
              <a:ext cx="1828800" cy="12477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3</xdr:col>
      <xdr:colOff>9525</xdr:colOff>
      <xdr:row>2</xdr:row>
      <xdr:rowOff>4762</xdr:rowOff>
    </xdr:from>
    <xdr:to>
      <xdr:col>8</xdr:col>
      <xdr:colOff>57150</xdr:colOff>
      <xdr:row>16</xdr:row>
      <xdr:rowOff>80962</xdr:rowOff>
    </xdr:to>
    <xdr:graphicFrame macro="">
      <xdr:nvGraphicFramePr>
        <xdr:cNvPr id="2" name="Chart 1">
          <a:extLst>
            <a:ext uri="{FF2B5EF4-FFF2-40B4-BE49-F238E27FC236}">
              <a16:creationId xmlns:a16="http://schemas.microsoft.com/office/drawing/2014/main" id="{080502A6-F9EA-4065-BA5F-1461C3273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238125</xdr:colOff>
      <xdr:row>1</xdr:row>
      <xdr:rowOff>138112</xdr:rowOff>
    </xdr:from>
    <xdr:to>
      <xdr:col>9</xdr:col>
      <xdr:colOff>542925</xdr:colOff>
      <xdr:row>16</xdr:row>
      <xdr:rowOff>23812</xdr:rowOff>
    </xdr:to>
    <xdr:graphicFrame macro="">
      <xdr:nvGraphicFramePr>
        <xdr:cNvPr id="2" name="Chart 1">
          <a:extLst>
            <a:ext uri="{FF2B5EF4-FFF2-40B4-BE49-F238E27FC236}">
              <a16:creationId xmlns:a16="http://schemas.microsoft.com/office/drawing/2014/main" id="{9CEB5B38-273B-4671-8D88-7B00DD738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276225</xdr:colOff>
      <xdr:row>2</xdr:row>
      <xdr:rowOff>166687</xdr:rowOff>
    </xdr:from>
    <xdr:to>
      <xdr:col>9</xdr:col>
      <xdr:colOff>581025</xdr:colOff>
      <xdr:row>17</xdr:row>
      <xdr:rowOff>52387</xdr:rowOff>
    </xdr:to>
    <xdr:graphicFrame macro="">
      <xdr:nvGraphicFramePr>
        <xdr:cNvPr id="2" name="Chart 1">
          <a:extLst>
            <a:ext uri="{FF2B5EF4-FFF2-40B4-BE49-F238E27FC236}">
              <a16:creationId xmlns:a16="http://schemas.microsoft.com/office/drawing/2014/main" id="{AEB0B574-644C-452F-AD4F-449F114CE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13</xdr:row>
      <xdr:rowOff>1</xdr:rowOff>
    </xdr:from>
    <xdr:to>
      <xdr:col>3</xdr:col>
      <xdr:colOff>0</xdr:colOff>
      <xdr:row>24</xdr:row>
      <xdr:rowOff>76201</xdr:rowOff>
    </xdr:to>
    <mc:AlternateContent xmlns:mc="http://schemas.openxmlformats.org/markup-compatibility/2006" xmlns:a14="http://schemas.microsoft.com/office/drawing/2010/main">
      <mc:Choice Requires="a14">
        <xdr:graphicFrame macro="">
          <xdr:nvGraphicFramePr>
            <xdr:cNvPr id="2" name="Review 3">
              <a:extLst>
                <a:ext uri="{FF2B5EF4-FFF2-40B4-BE49-F238E27FC236}">
                  <a16:creationId xmlns:a16="http://schemas.microsoft.com/office/drawing/2014/main" id="{18D320C4-503A-4A8C-A5C9-21E99C865E84}"/>
                </a:ext>
              </a:extLst>
            </xdr:cNvPr>
            <xdr:cNvGraphicFramePr/>
          </xdr:nvGraphicFramePr>
          <xdr:xfrm>
            <a:off x="0" y="0"/>
            <a:ext cx="0" cy="0"/>
          </xdr:xfrm>
          <a:graphic>
            <a:graphicData uri="http://schemas.microsoft.com/office/drawing/2010/slicer">
              <sle:slicer xmlns:sle="http://schemas.microsoft.com/office/drawing/2010/slicer" name="Review 3"/>
            </a:graphicData>
          </a:graphic>
        </xdr:graphicFrame>
      </mc:Choice>
      <mc:Fallback xmlns="">
        <xdr:sp macro="" textlink="">
          <xdr:nvSpPr>
            <xdr:cNvPr id="0" name=""/>
            <xdr:cNvSpPr>
              <a:spLocks noTextEdit="1"/>
            </xdr:cNvSpPr>
          </xdr:nvSpPr>
          <xdr:spPr>
            <a:xfrm>
              <a:off x="0" y="2476501"/>
              <a:ext cx="1828800" cy="21717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0</xdr:rowOff>
    </xdr:from>
    <xdr:to>
      <xdr:col>3</xdr:col>
      <xdr:colOff>0</xdr:colOff>
      <xdr:row>12</xdr:row>
      <xdr:rowOff>0</xdr:rowOff>
    </xdr:to>
    <mc:AlternateContent xmlns:mc="http://schemas.openxmlformats.org/markup-compatibility/2006" xmlns:a14="http://schemas.microsoft.com/office/drawing/2010/main">
      <mc:Choice Requires="a14">
        <xdr:graphicFrame macro="">
          <xdr:nvGraphicFramePr>
            <xdr:cNvPr id="3" name="Rating Category 1">
              <a:extLst>
                <a:ext uri="{FF2B5EF4-FFF2-40B4-BE49-F238E27FC236}">
                  <a16:creationId xmlns:a16="http://schemas.microsoft.com/office/drawing/2014/main" id="{0225570C-55DD-4EB3-A386-5DE3C56C4A1C}"/>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0" y="952500"/>
              <a:ext cx="1828800" cy="1333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0</xdr:rowOff>
    </xdr:from>
    <xdr:to>
      <xdr:col>3</xdr:col>
      <xdr:colOff>0</xdr:colOff>
      <xdr:row>69</xdr:row>
      <xdr:rowOff>0</xdr:rowOff>
    </xdr:to>
    <mc:AlternateContent xmlns:mc="http://schemas.openxmlformats.org/markup-compatibility/2006" xmlns:a14="http://schemas.microsoft.com/office/drawing/2010/main">
      <mc:Choice Requires="a14">
        <xdr:graphicFrame macro="">
          <xdr:nvGraphicFramePr>
            <xdr:cNvPr id="4" name="Product 2">
              <a:extLst>
                <a:ext uri="{FF2B5EF4-FFF2-40B4-BE49-F238E27FC236}">
                  <a16:creationId xmlns:a16="http://schemas.microsoft.com/office/drawing/2014/main" id="{FB069EF7-7ED5-4446-834D-5C12FF123AC7}"/>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0" y="4762500"/>
              <a:ext cx="1828800" cy="5429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609599</xdr:colOff>
      <xdr:row>4</xdr:row>
      <xdr:rowOff>190499</xdr:rowOff>
    </xdr:from>
    <xdr:to>
      <xdr:col>10</xdr:col>
      <xdr:colOff>409574</xdr:colOff>
      <xdr:row>21</xdr:row>
      <xdr:rowOff>0</xdr:rowOff>
    </xdr:to>
    <xdr:graphicFrame macro="">
      <xdr:nvGraphicFramePr>
        <xdr:cNvPr id="5" name="Chart 4">
          <a:extLst>
            <a:ext uri="{FF2B5EF4-FFF2-40B4-BE49-F238E27FC236}">
              <a16:creationId xmlns:a16="http://schemas.microsoft.com/office/drawing/2014/main" id="{51FFD3C9-72B6-41A9-87B3-D879C9B5C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22</xdr:row>
      <xdr:rowOff>19051</xdr:rowOff>
    </xdr:from>
    <xdr:to>
      <xdr:col>10</xdr:col>
      <xdr:colOff>381000</xdr:colOff>
      <xdr:row>38</xdr:row>
      <xdr:rowOff>57151</xdr:rowOff>
    </xdr:to>
    <xdr:graphicFrame macro="">
      <xdr:nvGraphicFramePr>
        <xdr:cNvPr id="6" name="Chart 5">
          <a:extLst>
            <a:ext uri="{FF2B5EF4-FFF2-40B4-BE49-F238E27FC236}">
              <a16:creationId xmlns:a16="http://schemas.microsoft.com/office/drawing/2014/main" id="{BF6D4331-2355-455C-A587-EC2BD4AE9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609599</xdr:colOff>
      <xdr:row>5</xdr:row>
      <xdr:rowOff>0</xdr:rowOff>
    </xdr:from>
    <xdr:to>
      <xdr:col>18</xdr:col>
      <xdr:colOff>9524</xdr:colOff>
      <xdr:row>21</xdr:row>
      <xdr:rowOff>0</xdr:rowOff>
    </xdr:to>
    <xdr:graphicFrame macro="">
      <xdr:nvGraphicFramePr>
        <xdr:cNvPr id="7" name="Chart 6">
          <a:extLst>
            <a:ext uri="{FF2B5EF4-FFF2-40B4-BE49-F238E27FC236}">
              <a16:creationId xmlns:a16="http://schemas.microsoft.com/office/drawing/2014/main" id="{447718E4-BD1B-421B-83C0-E9C3CF762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21</xdr:row>
      <xdr:rowOff>190499</xdr:rowOff>
    </xdr:from>
    <xdr:to>
      <xdr:col>18</xdr:col>
      <xdr:colOff>19050</xdr:colOff>
      <xdr:row>38</xdr:row>
      <xdr:rowOff>9524</xdr:rowOff>
    </xdr:to>
    <xdr:graphicFrame macro="">
      <xdr:nvGraphicFramePr>
        <xdr:cNvPr id="8" name="Chart 7">
          <a:extLst>
            <a:ext uri="{FF2B5EF4-FFF2-40B4-BE49-F238E27FC236}">
              <a16:creationId xmlns:a16="http://schemas.microsoft.com/office/drawing/2014/main" id="{7FEEF736-6C7E-49D9-AEA0-9C653C9F1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39</xdr:row>
      <xdr:rowOff>76200</xdr:rowOff>
    </xdr:from>
    <xdr:to>
      <xdr:col>10</xdr:col>
      <xdr:colOff>381000</xdr:colOff>
      <xdr:row>53</xdr:row>
      <xdr:rowOff>114300</xdr:rowOff>
    </xdr:to>
    <xdr:graphicFrame macro="">
      <xdr:nvGraphicFramePr>
        <xdr:cNvPr id="9" name="Chart 8">
          <a:extLst>
            <a:ext uri="{FF2B5EF4-FFF2-40B4-BE49-F238E27FC236}">
              <a16:creationId xmlns:a16="http://schemas.microsoft.com/office/drawing/2014/main" id="{6D247B99-A441-46AA-B227-D2108018B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39</xdr:row>
      <xdr:rowOff>85725</xdr:rowOff>
    </xdr:from>
    <xdr:to>
      <xdr:col>18</xdr:col>
      <xdr:colOff>9525</xdr:colOff>
      <xdr:row>53</xdr:row>
      <xdr:rowOff>114300</xdr:rowOff>
    </xdr:to>
    <xdr:graphicFrame macro="">
      <xdr:nvGraphicFramePr>
        <xdr:cNvPr id="10" name="Chart 9">
          <a:extLst>
            <a:ext uri="{FF2B5EF4-FFF2-40B4-BE49-F238E27FC236}">
              <a16:creationId xmlns:a16="http://schemas.microsoft.com/office/drawing/2014/main" id="{A568F4A3-6D44-40C6-B574-914886338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76200</xdr:colOff>
      <xdr:row>0</xdr:row>
      <xdr:rowOff>171450</xdr:rowOff>
    </xdr:from>
    <xdr:ext cx="7315200" cy="530959"/>
    <xdr:sp macro="" textlink="">
      <xdr:nvSpPr>
        <xdr:cNvPr id="12" name="TextBox 11">
          <a:extLst>
            <a:ext uri="{FF2B5EF4-FFF2-40B4-BE49-F238E27FC236}">
              <a16:creationId xmlns:a16="http://schemas.microsoft.com/office/drawing/2014/main" id="{BA189CA0-B4FE-489C-832D-8B4E5DFEEC03}"/>
            </a:ext>
          </a:extLst>
        </xdr:cNvPr>
        <xdr:cNvSpPr txBox="1"/>
      </xdr:nvSpPr>
      <xdr:spPr>
        <a:xfrm flipH="1">
          <a:off x="3733800" y="171450"/>
          <a:ext cx="7315200" cy="5309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800" b="1" u="sng">
              <a:solidFill>
                <a:srgbClr val="002060"/>
              </a:solidFill>
            </a:rPr>
            <a:t>JUMIA SALES ANALYSIS DASHBOARD</a:t>
          </a:r>
          <a:endParaRPr lang="en-KE" sz="2800" b="1" u="sng">
            <a:solidFill>
              <a:srgbClr val="002060"/>
            </a:solidFill>
          </a:endParaRPr>
        </a:p>
      </xdr:txBody>
    </xdr:sp>
    <xdr:clientData/>
  </xdr:oneCellAnchor>
  <xdr:oneCellAnchor>
    <xdr:from>
      <xdr:col>15</xdr:col>
      <xdr:colOff>238125</xdr:colOff>
      <xdr:row>3</xdr:row>
      <xdr:rowOff>133350</xdr:rowOff>
    </xdr:from>
    <xdr:ext cx="184731" cy="264560"/>
    <xdr:sp macro="" textlink="">
      <xdr:nvSpPr>
        <xdr:cNvPr id="13" name="TextBox 12">
          <a:extLst>
            <a:ext uri="{FF2B5EF4-FFF2-40B4-BE49-F238E27FC236}">
              <a16:creationId xmlns:a16="http://schemas.microsoft.com/office/drawing/2014/main" id="{D69D30CA-C7FC-49ED-B004-73C1E753F89F}"/>
            </a:ext>
          </a:extLst>
        </xdr:cNvPr>
        <xdr:cNvSpPr txBox="1"/>
      </xdr:nvSpPr>
      <xdr:spPr>
        <a:xfrm>
          <a:off x="9382125" y="704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twoCellAnchor>
    <xdr:from>
      <xdr:col>18</xdr:col>
      <xdr:colOff>228600</xdr:colOff>
      <xdr:row>22</xdr:row>
      <xdr:rowOff>19049</xdr:rowOff>
    </xdr:from>
    <xdr:to>
      <xdr:col>25</xdr:col>
      <xdr:colOff>533400</xdr:colOff>
      <xdr:row>38</xdr:row>
      <xdr:rowOff>9524</xdr:rowOff>
    </xdr:to>
    <xdr:graphicFrame macro="">
      <xdr:nvGraphicFramePr>
        <xdr:cNvPr id="15" name="Chart 14">
          <a:extLst>
            <a:ext uri="{FF2B5EF4-FFF2-40B4-BE49-F238E27FC236}">
              <a16:creationId xmlns:a16="http://schemas.microsoft.com/office/drawing/2014/main" id="{BAC1A8A0-E215-4D62-B77B-E022FF6F8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219075</xdr:colOff>
      <xdr:row>5</xdr:row>
      <xdr:rowOff>0</xdr:rowOff>
    </xdr:from>
    <xdr:to>
      <xdr:col>25</xdr:col>
      <xdr:colOff>523875</xdr:colOff>
      <xdr:row>20</xdr:row>
      <xdr:rowOff>152400</xdr:rowOff>
    </xdr:to>
    <xdr:graphicFrame macro="">
      <xdr:nvGraphicFramePr>
        <xdr:cNvPr id="16" name="Chart 15">
          <a:extLst>
            <a:ext uri="{FF2B5EF4-FFF2-40B4-BE49-F238E27FC236}">
              <a16:creationId xmlns:a16="http://schemas.microsoft.com/office/drawing/2014/main" id="{1DD537E4-EE18-49D5-A76D-949AB57A4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238124</xdr:colOff>
      <xdr:row>39</xdr:row>
      <xdr:rowOff>95250</xdr:rowOff>
    </xdr:from>
    <xdr:to>
      <xdr:col>25</xdr:col>
      <xdr:colOff>514349</xdr:colOff>
      <xdr:row>53</xdr:row>
      <xdr:rowOff>171450</xdr:rowOff>
    </xdr:to>
    <xdr:graphicFrame macro="">
      <xdr:nvGraphicFramePr>
        <xdr:cNvPr id="17" name="Chart 16">
          <a:extLst>
            <a:ext uri="{FF2B5EF4-FFF2-40B4-BE49-F238E27FC236}">
              <a16:creationId xmlns:a16="http://schemas.microsoft.com/office/drawing/2014/main" id="{C8552136-B4FE-4E8F-865B-DE37C7E3C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9525</xdr:colOff>
      <xdr:row>55</xdr:row>
      <xdr:rowOff>28575</xdr:rowOff>
    </xdr:from>
    <xdr:to>
      <xdr:col>10</xdr:col>
      <xdr:colOff>333375</xdr:colOff>
      <xdr:row>69</xdr:row>
      <xdr:rowOff>9525</xdr:rowOff>
    </xdr:to>
    <xdr:graphicFrame macro="">
      <xdr:nvGraphicFramePr>
        <xdr:cNvPr id="18" name="Chart 17">
          <a:extLst>
            <a:ext uri="{FF2B5EF4-FFF2-40B4-BE49-F238E27FC236}">
              <a16:creationId xmlns:a16="http://schemas.microsoft.com/office/drawing/2014/main" id="{196C1237-DFBC-4677-99C1-899B42F48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590550</xdr:colOff>
      <xdr:row>55</xdr:row>
      <xdr:rowOff>85725</xdr:rowOff>
    </xdr:from>
    <xdr:to>
      <xdr:col>16</xdr:col>
      <xdr:colOff>561975</xdr:colOff>
      <xdr:row>69</xdr:row>
      <xdr:rowOff>57150</xdr:rowOff>
    </xdr:to>
    <xdr:graphicFrame macro="">
      <xdr:nvGraphicFramePr>
        <xdr:cNvPr id="19" name="Chart 18">
          <a:extLst>
            <a:ext uri="{FF2B5EF4-FFF2-40B4-BE49-F238E27FC236}">
              <a16:creationId xmlns:a16="http://schemas.microsoft.com/office/drawing/2014/main" id="{E52B2889-70EE-445E-B28A-B965C5A60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190500</xdr:colOff>
      <xdr:row>55</xdr:row>
      <xdr:rowOff>95250</xdr:rowOff>
    </xdr:from>
    <xdr:to>
      <xdr:col>25</xdr:col>
      <xdr:colOff>495300</xdr:colOff>
      <xdr:row>69</xdr:row>
      <xdr:rowOff>171450</xdr:rowOff>
    </xdr:to>
    <xdr:graphicFrame macro="">
      <xdr:nvGraphicFramePr>
        <xdr:cNvPr id="21" name="Chart 20">
          <a:extLst>
            <a:ext uri="{FF2B5EF4-FFF2-40B4-BE49-F238E27FC236}">
              <a16:creationId xmlns:a16="http://schemas.microsoft.com/office/drawing/2014/main" id="{A04327AA-ABD2-4FFB-BC17-B0FF5E699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400050</xdr:colOff>
      <xdr:row>3</xdr:row>
      <xdr:rowOff>166687</xdr:rowOff>
    </xdr:from>
    <xdr:to>
      <xdr:col>10</xdr:col>
      <xdr:colOff>95250</xdr:colOff>
      <xdr:row>18</xdr:row>
      <xdr:rowOff>52387</xdr:rowOff>
    </xdr:to>
    <xdr:graphicFrame macro="">
      <xdr:nvGraphicFramePr>
        <xdr:cNvPr id="2" name="Chart 1">
          <a:extLst>
            <a:ext uri="{FF2B5EF4-FFF2-40B4-BE49-F238E27FC236}">
              <a16:creationId xmlns:a16="http://schemas.microsoft.com/office/drawing/2014/main" id="{0CA6F2C3-0504-4236-A7DE-67EA51389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247650</xdr:colOff>
      <xdr:row>3</xdr:row>
      <xdr:rowOff>28575</xdr:rowOff>
    </xdr:from>
    <xdr:to>
      <xdr:col>9</xdr:col>
      <xdr:colOff>552450</xdr:colOff>
      <xdr:row>17</xdr:row>
      <xdr:rowOff>104775</xdr:rowOff>
    </xdr:to>
    <xdr:graphicFrame macro="">
      <xdr:nvGraphicFramePr>
        <xdr:cNvPr id="2" name="Chart 1">
          <a:extLst>
            <a:ext uri="{FF2B5EF4-FFF2-40B4-BE49-F238E27FC236}">
              <a16:creationId xmlns:a16="http://schemas.microsoft.com/office/drawing/2014/main" id="{59FC0D79-AEC9-45A9-A78E-73746D35D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180975</xdr:colOff>
      <xdr:row>3</xdr:row>
      <xdr:rowOff>28575</xdr:rowOff>
    </xdr:from>
    <xdr:to>
      <xdr:col>9</xdr:col>
      <xdr:colOff>485775</xdr:colOff>
      <xdr:row>17</xdr:row>
      <xdr:rowOff>104775</xdr:rowOff>
    </xdr:to>
    <xdr:graphicFrame macro="">
      <xdr:nvGraphicFramePr>
        <xdr:cNvPr id="2" name="Chart 1">
          <a:extLst>
            <a:ext uri="{FF2B5EF4-FFF2-40B4-BE49-F238E27FC236}">
              <a16:creationId xmlns:a16="http://schemas.microsoft.com/office/drawing/2014/main" id="{0C5D80A7-8C71-4968-A4E2-7C2193C1B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4162425</xdr:colOff>
      <xdr:row>2</xdr:row>
      <xdr:rowOff>142875</xdr:rowOff>
    </xdr:from>
    <xdr:to>
      <xdr:col>5</xdr:col>
      <xdr:colOff>171450</xdr:colOff>
      <xdr:row>17</xdr:row>
      <xdr:rowOff>28575</xdr:rowOff>
    </xdr:to>
    <xdr:graphicFrame macro="">
      <xdr:nvGraphicFramePr>
        <xdr:cNvPr id="2" name="Chart 1">
          <a:extLst>
            <a:ext uri="{FF2B5EF4-FFF2-40B4-BE49-F238E27FC236}">
              <a16:creationId xmlns:a16="http://schemas.microsoft.com/office/drawing/2014/main" id="{6E210018-746E-470B-8544-A482E2C87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2228850</xdr:colOff>
      <xdr:row>4</xdr:row>
      <xdr:rowOff>76200</xdr:rowOff>
    </xdr:from>
    <xdr:to>
      <xdr:col>1</xdr:col>
      <xdr:colOff>419100</xdr:colOff>
      <xdr:row>18</xdr:row>
      <xdr:rowOff>152400</xdr:rowOff>
    </xdr:to>
    <xdr:graphicFrame macro="">
      <xdr:nvGraphicFramePr>
        <xdr:cNvPr id="2" name="Chart 1">
          <a:extLst>
            <a:ext uri="{FF2B5EF4-FFF2-40B4-BE49-F238E27FC236}">
              <a16:creationId xmlns:a16="http://schemas.microsoft.com/office/drawing/2014/main" id="{82F13BB1-6FB6-440F-AD8B-4058DB755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2324100</xdr:colOff>
      <xdr:row>3</xdr:row>
      <xdr:rowOff>28575</xdr:rowOff>
    </xdr:from>
    <xdr:to>
      <xdr:col>1</xdr:col>
      <xdr:colOff>514350</xdr:colOff>
      <xdr:row>17</xdr:row>
      <xdr:rowOff>104775</xdr:rowOff>
    </xdr:to>
    <xdr:graphicFrame macro="">
      <xdr:nvGraphicFramePr>
        <xdr:cNvPr id="2" name="Chart 1">
          <a:extLst>
            <a:ext uri="{FF2B5EF4-FFF2-40B4-BE49-F238E27FC236}">
              <a16:creationId xmlns:a16="http://schemas.microsoft.com/office/drawing/2014/main" id="{2BBFBC6F-EF2C-47BA-99C1-B76CC7054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2</xdr:col>
      <xdr:colOff>485775</xdr:colOff>
      <xdr:row>3</xdr:row>
      <xdr:rowOff>28575</xdr:rowOff>
    </xdr:from>
    <xdr:to>
      <xdr:col>10</xdr:col>
      <xdr:colOff>180975</xdr:colOff>
      <xdr:row>17</xdr:row>
      <xdr:rowOff>104775</xdr:rowOff>
    </xdr:to>
    <xdr:graphicFrame macro="">
      <xdr:nvGraphicFramePr>
        <xdr:cNvPr id="2" name="Chart 1">
          <a:extLst>
            <a:ext uri="{FF2B5EF4-FFF2-40B4-BE49-F238E27FC236}">
              <a16:creationId xmlns:a16="http://schemas.microsoft.com/office/drawing/2014/main" id="{8E104763-526C-4F69-86B4-02A38BED7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lemba/Desktop/jumia_sales_dashboard_with_readm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 rating by discount"/>
      <sheetName val=" rating vs prod"/>
      <sheetName val="RAT &amp; NUMBEROF REVIEW"/>
      <sheetName val="discount vs review"/>
      <sheetName val="rate vs review"/>
      <sheetName val="Highrateprod vs reviews"/>
      <sheetName val="Top prod vs disc"/>
      <sheetName val="Top prod vs reviews"/>
      <sheetName val="Top 5 rated prod"/>
      <sheetName val="Bottom5 rated prod"/>
      <sheetName val="disco vs rating vs review"/>
      <sheetName val="PT_1"/>
      <sheetName val="PT_2"/>
      <sheetName val="PT_3"/>
      <sheetName val="PT_4"/>
      <sheetName val="PT_5"/>
      <sheetName val="Dashboard"/>
      <sheetName val="PT_6"/>
      <sheetName val="jumia_sales"/>
      <sheetName val="ReadMe"/>
    </sheetNames>
    <sheetDataSet>
      <sheetData sheetId="0" refreshError="1"/>
      <sheetData sheetId="1" refreshError="1"/>
      <sheetData sheetId="2">
        <row r="3">
          <cell r="B3" t="str">
            <v>Average of Ratingd</v>
          </cell>
        </row>
        <row r="4">
          <cell r="A4" t="str">
            <v>0-9</v>
          </cell>
          <cell r="B4">
            <v>1.5226190476190475</v>
          </cell>
        </row>
        <row r="5">
          <cell r="A5" t="str">
            <v>10-19</v>
          </cell>
          <cell r="B5">
            <v>3.5928571428571439</v>
          </cell>
        </row>
        <row r="6">
          <cell r="A6" t="str">
            <v>20-29</v>
          </cell>
          <cell r="B6">
            <v>4.4666666666666659</v>
          </cell>
        </row>
        <row r="7">
          <cell r="A7" t="str">
            <v>30-39</v>
          </cell>
          <cell r="B7">
            <v>4.5</v>
          </cell>
        </row>
        <row r="8">
          <cell r="A8" t="str">
            <v>40-49</v>
          </cell>
          <cell r="B8">
            <v>4.5999999999999996</v>
          </cell>
        </row>
        <row r="9">
          <cell r="A9" t="str">
            <v>50-59</v>
          </cell>
          <cell r="B9">
            <v>4.5999999999999996</v>
          </cell>
        </row>
        <row r="10">
          <cell r="A10" t="str">
            <v>60-69</v>
          </cell>
          <cell r="B10">
            <v>2.8</v>
          </cell>
        </row>
        <row r="11">
          <cell r="A11" t="str">
            <v>Grand Total</v>
          </cell>
          <cell r="B11">
            <v>2.0527777777777776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3.803016087964" createdVersion="8" refreshedVersion="8" minRefreshableVersion="3" recordCount="109" xr:uid="{A3BD6C55-FF13-4949-B05B-FD342B1C6D1F}">
  <cacheSource type="worksheet">
    <worksheetSource name="Table1"/>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
      <sharedItems containsSemiMixedTypes="0" containsString="0" containsNumber="1" containsInteger="1" minValue="38" maxValue="3750" count="99">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2750"/>
        <n v="475"/>
        <n v="238"/>
        <n v="610"/>
        <n v="2132"/>
        <n v="999"/>
        <n v="1190"/>
        <n v="671"/>
        <n v="1200"/>
        <n v="199"/>
        <n v="299"/>
        <n v="1660"/>
        <n v="1459"/>
        <n v="499"/>
        <n v="699"/>
        <n v="2799"/>
        <n v="2170"/>
        <n v="458"/>
        <n v="2115"/>
        <n v="445"/>
        <n v="325"/>
        <n v="1220"/>
        <n v="1000"/>
        <n v="3750"/>
        <n v="382"/>
        <n v="2300"/>
        <n v="345"/>
        <n v="509"/>
        <n v="968"/>
        <n v="1570"/>
        <n v="790"/>
        <n v="690"/>
        <n v="1732"/>
        <n v="230"/>
        <n v="1189"/>
        <n v="979"/>
        <n v="1460"/>
        <n v="1666"/>
        <n v="330"/>
        <n v="1466"/>
        <n v="274"/>
        <n v="1468"/>
        <n v="630"/>
        <n v="850"/>
        <n v="1300"/>
        <n v="105"/>
        <n v="899"/>
        <n v="1526"/>
        <n v="1462"/>
        <n v="248"/>
        <n v="3546"/>
        <n v="525"/>
        <n v="1080"/>
        <n v="3640"/>
        <n v="1420"/>
        <n v="1875"/>
        <n v="198"/>
        <n v="1150"/>
        <n v="1658"/>
        <n v="1768"/>
        <n v="450"/>
        <n v="169"/>
      </sharedItems>
    </cacheField>
    <cacheField name="old price" numFmtId="1">
      <sharedItems containsSemiMixedTypes="0" containsString="0" containsNumber="1" containsInteger="1" minValue="80" maxValue="6143"/>
    </cacheField>
    <cacheField name="Discount amount(Ksh)" numFmtId="1">
      <sharedItems containsSemiMixedTypes="0" containsString="0" containsNumber="1" containsInteger="1" minValue="24"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category" numFmtId="9">
      <sharedItems count="3">
        <s v="medium"/>
        <s v="high"/>
        <s v="low"/>
      </sharedItems>
    </cacheField>
    <cacheField name="Review" numFmtId="1">
      <sharedItems containsSemiMixedTypes="0" containsString="0" containsNumber="1" containsInteger="1" minValue="0" maxValue="69" count="24">
        <n v="2"/>
        <n v="14"/>
        <n v="24"/>
        <n v="7"/>
        <n v="5"/>
        <n v="15"/>
        <n v="55"/>
        <n v="12"/>
        <n v="39"/>
        <n v="6"/>
        <n v="9"/>
        <n v="3"/>
        <n v="44"/>
        <n v="13"/>
        <n v="0"/>
        <n v="49"/>
        <n v="20"/>
        <n v="32"/>
        <n v="1"/>
        <n v="36"/>
        <n v="10"/>
        <n v="69"/>
        <n v="16"/>
        <n v="17"/>
      </sharedItems>
      <fieldGroup base="6">
        <rangePr startNum="0" endNum="69" groupInterval="10"/>
        <groupItems count="9">
          <s v="&lt;0"/>
          <s v="0-9"/>
          <s v="10-19"/>
          <s v="20-29"/>
          <s v="30-39"/>
          <s v="40-49"/>
          <s v="50-59"/>
          <s v="60-69"/>
          <s v="&gt;70"/>
        </groupItems>
      </fieldGroup>
    </cacheField>
    <cacheField name="Ratingd" numFmtId="164">
      <sharedItems containsString="0" containsBlank="1" containsNumber="1" minValue="0" maxValue="5" count="24">
        <n v="4.5"/>
        <n v="4.0999999999999996"/>
        <n v="4.5999999999999996"/>
        <n v="4.7"/>
        <n v="4.8"/>
        <n v="4"/>
        <n v="3.8"/>
        <n v="4.2"/>
        <n v="5"/>
        <n v="3.3"/>
        <m/>
        <n v="4.4000000000000004"/>
        <n v="4.3"/>
        <n v="0"/>
        <n v="2.5"/>
        <n v="3"/>
        <n v="2.1"/>
        <n v="2.8"/>
        <n v="2.7"/>
        <n v="2.9"/>
        <n v="2.2000000000000002"/>
        <n v="2.2999999999999998"/>
        <n v="2.6"/>
        <n v="2"/>
      </sharedItems>
    </cacheField>
    <cacheField name="Rating Category" numFmtId="0">
      <sharedItems count="3">
        <s v="excellent"/>
        <s v="average"/>
        <s v="poor"/>
      </sharedItems>
    </cacheField>
  </cacheFields>
  <extLst>
    <ext xmlns:x14="http://schemas.microsoft.com/office/spreadsheetml/2009/9/main" uri="{725AE2AE-9491-48be-B2B4-4EB974FC3084}">
      <x14:pivotCacheDefinition pivotCacheId="12784043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emba" refreshedDate="46314.680636342593" createdVersion="7" refreshedVersion="7" minRefreshableVersion="3" recordCount="109" xr:uid="{A00CD737-7418-47AE-BAB7-26FF03927620}">
  <cacheSource type="worksheet">
    <worksheetSource name="Table1"/>
  </cacheSource>
  <cacheFields count="9">
    <cacheField name="Product" numFmtId="0">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amount(Ksh)" numFmtId="1">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9">
      <sharedItems/>
    </cacheField>
    <cacheField name="Review" numFmtId="1">
      <sharedItems containsSemiMixedTypes="0" containsString="0" containsNumber="1" containsInteger="1" minValue="0" maxValue="69"/>
    </cacheField>
    <cacheField name="Rating" numFmtId="164">
      <sharedItems containsSemiMixedTypes="0" containsString="0" containsNumber="1" minValue="0" maxValue="5"/>
    </cacheField>
    <cacheField name="Rating Category" numFmtId="0">
      <sharedItems count="3">
        <s v="excellent"/>
        <s v="average"/>
        <s v="poo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x v="0"/>
    <n v="1525"/>
    <n v="575"/>
    <x v="0"/>
    <x v="0"/>
    <x v="0"/>
    <x v="0"/>
    <x v="0"/>
  </r>
  <r>
    <x v="1"/>
    <x v="1"/>
    <n v="999"/>
    <n v="472"/>
    <x v="1"/>
    <x v="1"/>
    <x v="1"/>
    <x v="1"/>
    <x v="1"/>
  </r>
  <r>
    <x v="2"/>
    <x v="2"/>
    <n v="2923"/>
    <n v="724"/>
    <x v="2"/>
    <x v="0"/>
    <x v="2"/>
    <x v="2"/>
    <x v="0"/>
  </r>
  <r>
    <x v="3"/>
    <x v="3"/>
    <n v="2499"/>
    <n v="919"/>
    <x v="3"/>
    <x v="0"/>
    <x v="3"/>
    <x v="3"/>
    <x v="0"/>
  </r>
  <r>
    <x v="4"/>
    <x v="4"/>
    <n v="2356"/>
    <n v="616"/>
    <x v="4"/>
    <x v="0"/>
    <x v="4"/>
    <x v="4"/>
    <x v="0"/>
  </r>
  <r>
    <x v="5"/>
    <x v="5"/>
    <n v="3290"/>
    <n v="291"/>
    <x v="5"/>
    <x v="2"/>
    <x v="5"/>
    <x v="5"/>
    <x v="1"/>
  </r>
  <r>
    <x v="6"/>
    <x v="6"/>
    <n v="3032"/>
    <n v="713"/>
    <x v="6"/>
    <x v="0"/>
    <x v="6"/>
    <x v="2"/>
    <x v="0"/>
  </r>
  <r>
    <x v="7"/>
    <x v="7"/>
    <n v="1580"/>
    <n v="592"/>
    <x v="3"/>
    <x v="0"/>
    <x v="0"/>
    <x v="5"/>
    <x v="1"/>
  </r>
  <r>
    <x v="8"/>
    <x v="8"/>
    <n v="2800"/>
    <n v="1526"/>
    <x v="7"/>
    <x v="1"/>
    <x v="4"/>
    <x v="4"/>
    <x v="0"/>
  </r>
  <r>
    <x v="9"/>
    <x v="9"/>
    <n v="2929"/>
    <n v="1329"/>
    <x v="8"/>
    <x v="1"/>
    <x v="4"/>
    <x v="6"/>
    <x v="1"/>
  </r>
  <r>
    <x v="10"/>
    <x v="10"/>
    <n v="999"/>
    <n v="200"/>
    <x v="9"/>
    <x v="0"/>
    <x v="7"/>
    <x v="1"/>
    <x v="1"/>
  </r>
  <r>
    <x v="11"/>
    <x v="11"/>
    <n v="1500"/>
    <n v="510"/>
    <x v="10"/>
    <x v="0"/>
    <x v="8"/>
    <x v="3"/>
    <x v="0"/>
  </r>
  <r>
    <x v="12"/>
    <x v="12"/>
    <n v="1035"/>
    <n v="483"/>
    <x v="1"/>
    <x v="1"/>
    <x v="7"/>
    <x v="4"/>
    <x v="0"/>
  </r>
  <r>
    <x v="13"/>
    <x v="13"/>
    <n v="860"/>
    <n v="359"/>
    <x v="11"/>
    <x v="1"/>
    <x v="9"/>
    <x v="0"/>
    <x v="0"/>
  </r>
  <r>
    <x v="14"/>
    <x v="14"/>
    <n v="2499"/>
    <n v="819"/>
    <x v="12"/>
    <x v="0"/>
    <x v="10"/>
    <x v="7"/>
    <x v="1"/>
  </r>
  <r>
    <x v="15"/>
    <x v="15"/>
    <n v="684"/>
    <n v="352"/>
    <x v="13"/>
    <x v="1"/>
    <x v="0"/>
    <x v="8"/>
    <x v="0"/>
  </r>
  <r>
    <x v="16"/>
    <x v="16"/>
    <n v="360"/>
    <n v="165"/>
    <x v="14"/>
    <x v="1"/>
    <x v="0"/>
    <x v="8"/>
    <x v="0"/>
  </r>
  <r>
    <x v="17"/>
    <x v="17"/>
    <n v="3971"/>
    <n v="1946"/>
    <x v="15"/>
    <x v="1"/>
    <x v="11"/>
    <x v="8"/>
    <x v="0"/>
  </r>
  <r>
    <x v="18"/>
    <x v="5"/>
    <n v="3699"/>
    <n v="700"/>
    <x v="16"/>
    <x v="2"/>
    <x v="4"/>
    <x v="2"/>
    <x v="0"/>
  </r>
  <r>
    <x v="19"/>
    <x v="18"/>
    <n v="1966"/>
    <n v="968"/>
    <x v="15"/>
    <x v="1"/>
    <x v="12"/>
    <x v="2"/>
    <x v="0"/>
  </r>
  <r>
    <x v="20"/>
    <x v="19"/>
    <n v="80"/>
    <n v="42"/>
    <x v="17"/>
    <x v="1"/>
    <x v="13"/>
    <x v="9"/>
    <x v="1"/>
  </r>
  <r>
    <x v="21"/>
    <x v="20"/>
    <n v="3220"/>
    <n v="1360"/>
    <x v="11"/>
    <x v="1"/>
    <x v="14"/>
    <x v="10"/>
    <x v="2"/>
  </r>
  <r>
    <x v="22"/>
    <x v="21"/>
    <n v="1350"/>
    <n v="470"/>
    <x v="18"/>
    <x v="0"/>
    <x v="9"/>
    <x v="5"/>
    <x v="1"/>
  </r>
  <r>
    <x v="23"/>
    <x v="22"/>
    <n v="2150"/>
    <n v="500"/>
    <x v="19"/>
    <x v="0"/>
    <x v="1"/>
    <x v="11"/>
    <x v="1"/>
  </r>
  <r>
    <x v="24"/>
    <x v="23"/>
    <n v="4500"/>
    <n v="2452"/>
    <x v="20"/>
    <x v="1"/>
    <x v="3"/>
    <x v="12"/>
    <x v="1"/>
  </r>
  <r>
    <x v="25"/>
    <x v="24"/>
    <n v="647"/>
    <n v="227"/>
    <x v="18"/>
    <x v="0"/>
    <x v="15"/>
    <x v="2"/>
    <x v="0"/>
  </r>
  <r>
    <x v="26"/>
    <x v="25"/>
    <n v="3520"/>
    <n v="640"/>
    <x v="21"/>
    <x v="2"/>
    <x v="7"/>
    <x v="6"/>
    <x v="1"/>
  </r>
  <r>
    <x v="27"/>
    <x v="26"/>
    <n v="1990"/>
    <n v="640"/>
    <x v="22"/>
    <x v="0"/>
    <x v="13"/>
    <x v="6"/>
    <x v="1"/>
  </r>
  <r>
    <x v="28"/>
    <x v="27"/>
    <n v="2499"/>
    <n v="741"/>
    <x v="23"/>
    <x v="0"/>
    <x v="16"/>
    <x v="1"/>
    <x v="1"/>
  </r>
  <r>
    <x v="29"/>
    <x v="28"/>
    <n v="4080"/>
    <n v="1880"/>
    <x v="14"/>
    <x v="1"/>
    <x v="14"/>
    <x v="13"/>
    <x v="2"/>
  </r>
  <r>
    <x v="30"/>
    <x v="29"/>
    <n v="382"/>
    <n v="197"/>
    <x v="24"/>
    <x v="1"/>
    <x v="10"/>
    <x v="12"/>
    <x v="1"/>
  </r>
  <r>
    <x v="31"/>
    <x v="30"/>
    <n v="1490"/>
    <n v="510"/>
    <x v="10"/>
    <x v="0"/>
    <x v="7"/>
    <x v="3"/>
    <x v="0"/>
  </r>
  <r>
    <x v="32"/>
    <x v="31"/>
    <n v="3490"/>
    <n v="1670"/>
    <x v="25"/>
    <x v="1"/>
    <x v="10"/>
    <x v="12"/>
    <x v="1"/>
  </r>
  <r>
    <x v="33"/>
    <x v="32"/>
    <n v="2650"/>
    <n v="710"/>
    <x v="26"/>
    <x v="0"/>
    <x v="16"/>
    <x v="3"/>
    <x v="0"/>
  </r>
  <r>
    <x v="34"/>
    <x v="33"/>
    <n v="2699"/>
    <n v="719"/>
    <x v="26"/>
    <x v="0"/>
    <x v="17"/>
    <x v="0"/>
    <x v="0"/>
  </r>
  <r>
    <x v="35"/>
    <x v="34"/>
    <n v="2690"/>
    <n v="1070"/>
    <x v="27"/>
    <x v="0"/>
    <x v="18"/>
    <x v="8"/>
    <x v="0"/>
  </r>
  <r>
    <x v="36"/>
    <x v="35"/>
    <n v="360"/>
    <n v="189"/>
    <x v="17"/>
    <x v="1"/>
    <x v="0"/>
    <x v="8"/>
    <x v="0"/>
  </r>
  <r>
    <x v="37"/>
    <x v="36"/>
    <n v="656"/>
    <n v="267"/>
    <x v="28"/>
    <x v="1"/>
    <x v="19"/>
    <x v="12"/>
    <x v="1"/>
  </r>
  <r>
    <x v="38"/>
    <x v="33"/>
    <n v="3200"/>
    <n v="1220"/>
    <x v="0"/>
    <x v="0"/>
    <x v="0"/>
    <x v="0"/>
    <x v="0"/>
  </r>
  <r>
    <x v="39"/>
    <x v="37"/>
    <n v="4471"/>
    <n v="1721"/>
    <x v="0"/>
    <x v="0"/>
    <x v="14"/>
    <x v="13"/>
    <x v="2"/>
  </r>
  <r>
    <x v="40"/>
    <x v="38"/>
    <n v="931"/>
    <n v="456"/>
    <x v="15"/>
    <x v="1"/>
    <x v="14"/>
    <x v="13"/>
    <x v="2"/>
  </r>
  <r>
    <x v="41"/>
    <x v="39"/>
    <n v="476"/>
    <n v="238"/>
    <x v="29"/>
    <x v="1"/>
    <x v="14"/>
    <x v="13"/>
    <x v="2"/>
  </r>
  <r>
    <x v="42"/>
    <x v="40"/>
    <n v="1060"/>
    <n v="450"/>
    <x v="11"/>
    <x v="1"/>
    <x v="14"/>
    <x v="13"/>
    <x v="2"/>
  </r>
  <r>
    <x v="43"/>
    <x v="41"/>
    <n v="2169"/>
    <n v="37"/>
    <x v="30"/>
    <x v="2"/>
    <x v="14"/>
    <x v="13"/>
    <x v="2"/>
  </r>
  <r>
    <x v="44"/>
    <x v="42"/>
    <n v="2000"/>
    <n v="1001"/>
    <x v="29"/>
    <x v="1"/>
    <x v="14"/>
    <x v="13"/>
    <x v="2"/>
  </r>
  <r>
    <x v="45"/>
    <x v="43"/>
    <n v="1785"/>
    <n v="595"/>
    <x v="12"/>
    <x v="0"/>
    <x v="14"/>
    <x v="13"/>
    <x v="2"/>
  </r>
  <r>
    <x v="46"/>
    <x v="44"/>
    <n v="1316"/>
    <n v="645"/>
    <x v="15"/>
    <x v="1"/>
    <x v="14"/>
    <x v="13"/>
    <x v="2"/>
  </r>
  <r>
    <x v="47"/>
    <x v="45"/>
    <n v="1950"/>
    <n v="750"/>
    <x v="0"/>
    <x v="0"/>
    <x v="14"/>
    <x v="13"/>
    <x v="2"/>
  </r>
  <r>
    <x v="48"/>
    <x v="46"/>
    <n v="504"/>
    <n v="305"/>
    <x v="31"/>
    <x v="1"/>
    <x v="14"/>
    <x v="13"/>
    <x v="2"/>
  </r>
  <r>
    <x v="49"/>
    <x v="47"/>
    <n v="600"/>
    <n v="301"/>
    <x v="29"/>
    <x v="1"/>
    <x v="14"/>
    <x v="13"/>
    <x v="2"/>
  </r>
  <r>
    <x v="50"/>
    <x v="48"/>
    <n v="1699"/>
    <n v="39"/>
    <x v="30"/>
    <x v="2"/>
    <x v="14"/>
    <x v="13"/>
    <x v="2"/>
  </r>
  <r>
    <x v="51"/>
    <x v="47"/>
    <n v="384"/>
    <n v="85"/>
    <x v="32"/>
    <x v="0"/>
    <x v="14"/>
    <x v="13"/>
    <x v="2"/>
  </r>
  <r>
    <x v="52"/>
    <x v="49"/>
    <n v="1499"/>
    <n v="40"/>
    <x v="33"/>
    <x v="2"/>
    <x v="14"/>
    <x v="13"/>
    <x v="2"/>
  </r>
  <r>
    <x v="53"/>
    <x v="10"/>
    <n v="1343"/>
    <n v="544"/>
    <x v="28"/>
    <x v="1"/>
    <x v="14"/>
    <x v="13"/>
    <x v="2"/>
  </r>
  <r>
    <x v="54"/>
    <x v="50"/>
    <n v="900"/>
    <n v="401"/>
    <x v="8"/>
    <x v="1"/>
    <x v="14"/>
    <x v="13"/>
    <x v="2"/>
  </r>
  <r>
    <x v="55"/>
    <x v="51"/>
    <n v="1343"/>
    <n v="644"/>
    <x v="25"/>
    <x v="1"/>
    <x v="14"/>
    <x v="13"/>
    <x v="2"/>
  </r>
  <r>
    <x v="56"/>
    <x v="10"/>
    <n v="1567"/>
    <n v="768"/>
    <x v="15"/>
    <x v="1"/>
    <x v="14"/>
    <x v="13"/>
    <x v="2"/>
  </r>
  <r>
    <x v="57"/>
    <x v="52"/>
    <n v="3810"/>
    <n v="1011"/>
    <x v="26"/>
    <x v="0"/>
    <x v="14"/>
    <x v="13"/>
    <x v="2"/>
  </r>
  <r>
    <x v="58"/>
    <x v="53"/>
    <n v="2500"/>
    <n v="330"/>
    <x v="34"/>
    <x v="2"/>
    <x v="9"/>
    <x v="14"/>
    <x v="2"/>
  </r>
  <r>
    <x v="59"/>
    <x v="54"/>
    <n v="986"/>
    <n v="528"/>
    <x v="20"/>
    <x v="1"/>
    <x v="20"/>
    <x v="15"/>
    <x v="1"/>
  </r>
  <r>
    <x v="60"/>
    <x v="55"/>
    <n v="4700"/>
    <n v="2585"/>
    <x v="7"/>
    <x v="1"/>
    <x v="13"/>
    <x v="16"/>
    <x v="2"/>
  </r>
  <r>
    <x v="61"/>
    <x v="56"/>
    <n v="873"/>
    <n v="428"/>
    <x v="15"/>
    <x v="1"/>
    <x v="21"/>
    <x v="17"/>
    <x v="2"/>
  </r>
  <r>
    <x v="62"/>
    <x v="57"/>
    <n v="680"/>
    <n v="355"/>
    <x v="24"/>
    <x v="1"/>
    <x v="5"/>
    <x v="18"/>
    <x v="2"/>
  </r>
  <r>
    <x v="63"/>
    <x v="58"/>
    <n v="1555"/>
    <n v="335"/>
    <x v="32"/>
    <x v="0"/>
    <x v="22"/>
    <x v="19"/>
    <x v="2"/>
  </r>
  <r>
    <x v="64"/>
    <x v="11"/>
    <n v="1814"/>
    <n v="824"/>
    <x v="8"/>
    <x v="1"/>
    <x v="9"/>
    <x v="20"/>
    <x v="2"/>
  </r>
  <r>
    <x v="65"/>
    <x v="59"/>
    <n v="2000"/>
    <n v="1000"/>
    <x v="29"/>
    <x v="1"/>
    <x v="3"/>
    <x v="21"/>
    <x v="2"/>
  </r>
  <r>
    <x v="66"/>
    <x v="60"/>
    <n v="6143"/>
    <n v="2393"/>
    <x v="35"/>
    <x v="0"/>
    <x v="4"/>
    <x v="15"/>
    <x v="1"/>
  </r>
  <r>
    <x v="67"/>
    <x v="61"/>
    <n v="700"/>
    <n v="318"/>
    <x v="8"/>
    <x v="1"/>
    <x v="23"/>
    <x v="22"/>
    <x v="2"/>
  </r>
  <r>
    <x v="68"/>
    <x v="62"/>
    <n v="3240"/>
    <n v="940"/>
    <x v="36"/>
    <x v="0"/>
    <x v="4"/>
    <x v="15"/>
    <x v="1"/>
  </r>
  <r>
    <x v="69"/>
    <x v="63"/>
    <n v="602"/>
    <n v="257"/>
    <x v="37"/>
    <x v="1"/>
    <x v="9"/>
    <x v="21"/>
    <x v="2"/>
  </r>
  <r>
    <x v="70"/>
    <x v="64"/>
    <n v="899"/>
    <n v="390"/>
    <x v="37"/>
    <x v="1"/>
    <x v="4"/>
    <x v="15"/>
    <x v="1"/>
  </r>
  <r>
    <x v="71"/>
    <x v="65"/>
    <n v="1814"/>
    <n v="846"/>
    <x v="1"/>
    <x v="1"/>
    <x v="9"/>
    <x v="20"/>
    <x v="2"/>
  </r>
  <r>
    <x v="72"/>
    <x v="66"/>
    <n v="2988"/>
    <n v="1418"/>
    <x v="1"/>
    <x v="1"/>
    <x v="3"/>
    <x v="16"/>
    <x v="2"/>
  </r>
  <r>
    <x v="73"/>
    <x v="67"/>
    <n v="1485"/>
    <n v="695"/>
    <x v="1"/>
    <x v="1"/>
    <x v="14"/>
    <x v="13"/>
    <x v="2"/>
  </r>
  <r>
    <x v="74"/>
    <x v="68"/>
    <n v="1200"/>
    <n v="510"/>
    <x v="37"/>
    <x v="1"/>
    <x v="14"/>
    <x v="13"/>
    <x v="2"/>
  </r>
  <r>
    <x v="75"/>
    <x v="69"/>
    <n v="1799"/>
    <n v="67"/>
    <x v="38"/>
    <x v="2"/>
    <x v="14"/>
    <x v="13"/>
    <x v="2"/>
  </r>
  <r>
    <x v="76"/>
    <x v="70"/>
    <n v="450"/>
    <n v="220"/>
    <x v="15"/>
    <x v="1"/>
    <x v="14"/>
    <x v="13"/>
    <x v="2"/>
  </r>
  <r>
    <x v="77"/>
    <x v="71"/>
    <n v="2199"/>
    <n v="1010"/>
    <x v="14"/>
    <x v="1"/>
    <x v="18"/>
    <x v="15"/>
    <x v="1"/>
  </r>
  <r>
    <x v="78"/>
    <x v="72"/>
    <n v="1920"/>
    <n v="941"/>
    <x v="15"/>
    <x v="1"/>
    <x v="18"/>
    <x v="8"/>
    <x v="0"/>
  </r>
  <r>
    <x v="79"/>
    <x v="73"/>
    <n v="2290"/>
    <n v="830"/>
    <x v="39"/>
    <x v="0"/>
    <x v="14"/>
    <x v="13"/>
    <x v="2"/>
  </r>
  <r>
    <x v="80"/>
    <x v="74"/>
    <n v="1699"/>
    <n v="33"/>
    <x v="30"/>
    <x v="2"/>
    <x v="14"/>
    <x v="13"/>
    <x v="2"/>
  </r>
  <r>
    <x v="81"/>
    <x v="75"/>
    <n v="647"/>
    <n v="317"/>
    <x v="15"/>
    <x v="1"/>
    <x v="18"/>
    <x v="5"/>
    <x v="1"/>
  </r>
  <r>
    <x v="82"/>
    <x v="76"/>
    <n v="1699"/>
    <n v="233"/>
    <x v="40"/>
    <x v="2"/>
    <x v="14"/>
    <x v="13"/>
    <x v="2"/>
  </r>
  <r>
    <x v="83"/>
    <x v="77"/>
    <n v="537"/>
    <n v="263"/>
    <x v="15"/>
    <x v="1"/>
    <x v="14"/>
    <x v="13"/>
    <x v="2"/>
  </r>
  <r>
    <x v="84"/>
    <x v="10"/>
    <n v="900"/>
    <n v="101"/>
    <x v="41"/>
    <x v="2"/>
    <x v="14"/>
    <x v="13"/>
    <x v="2"/>
  </r>
  <r>
    <x v="85"/>
    <x v="78"/>
    <n v="1699"/>
    <n v="231"/>
    <x v="40"/>
    <x v="2"/>
    <x v="14"/>
    <x v="13"/>
    <x v="2"/>
  </r>
  <r>
    <x v="86"/>
    <x v="79"/>
    <n v="1100"/>
    <n v="470"/>
    <x v="37"/>
    <x v="1"/>
    <x v="14"/>
    <x v="13"/>
    <x v="2"/>
  </r>
  <r>
    <x v="87"/>
    <x v="80"/>
    <n v="1700"/>
    <n v="850"/>
    <x v="29"/>
    <x v="1"/>
    <x v="14"/>
    <x v="13"/>
    <x v="2"/>
  </r>
  <r>
    <x v="88"/>
    <x v="81"/>
    <n v="2500"/>
    <n v="1200"/>
    <x v="25"/>
    <x v="1"/>
    <x v="14"/>
    <x v="13"/>
    <x v="2"/>
  </r>
  <r>
    <x v="89"/>
    <x v="82"/>
    <n v="200"/>
    <n v="95"/>
    <x v="25"/>
    <x v="1"/>
    <x v="14"/>
    <x v="13"/>
    <x v="2"/>
  </r>
  <r>
    <x v="90"/>
    <x v="83"/>
    <n v="1699"/>
    <n v="800"/>
    <x v="1"/>
    <x v="1"/>
    <x v="14"/>
    <x v="13"/>
    <x v="2"/>
  </r>
  <r>
    <x v="91"/>
    <x v="45"/>
    <n v="2400"/>
    <n v="1200"/>
    <x v="29"/>
    <x v="1"/>
    <x v="14"/>
    <x v="13"/>
    <x v="2"/>
  </r>
  <r>
    <x v="92"/>
    <x v="84"/>
    <n v="1660"/>
    <n v="134"/>
    <x v="42"/>
    <x v="2"/>
    <x v="14"/>
    <x v="13"/>
    <x v="2"/>
  </r>
  <r>
    <x v="93"/>
    <x v="85"/>
    <n v="1499"/>
    <n v="37"/>
    <x v="30"/>
    <x v="2"/>
    <x v="14"/>
    <x v="13"/>
    <x v="2"/>
  </r>
  <r>
    <x v="94"/>
    <x v="86"/>
    <n v="486"/>
    <n v="238"/>
    <x v="15"/>
    <x v="1"/>
    <x v="14"/>
    <x v="13"/>
    <x v="2"/>
  </r>
  <r>
    <x v="95"/>
    <x v="87"/>
    <n v="3699"/>
    <n v="153"/>
    <x v="38"/>
    <x v="2"/>
    <x v="14"/>
    <x v="13"/>
    <x v="2"/>
  </r>
  <r>
    <x v="96"/>
    <x v="88"/>
    <n v="1029"/>
    <n v="504"/>
    <x v="15"/>
    <x v="1"/>
    <x v="14"/>
    <x v="13"/>
    <x v="2"/>
  </r>
  <r>
    <x v="97"/>
    <x v="89"/>
    <n v="1874"/>
    <n v="794"/>
    <x v="11"/>
    <x v="1"/>
    <x v="14"/>
    <x v="13"/>
    <x v="2"/>
  </r>
  <r>
    <x v="98"/>
    <x v="90"/>
    <n v="4588"/>
    <n v="948"/>
    <x v="43"/>
    <x v="0"/>
    <x v="18"/>
    <x v="8"/>
    <x v="0"/>
  </r>
  <r>
    <x v="99"/>
    <x v="91"/>
    <n v="2420"/>
    <n v="1000"/>
    <x v="28"/>
    <x v="1"/>
    <x v="14"/>
    <x v="13"/>
    <x v="2"/>
  </r>
  <r>
    <x v="100"/>
    <x v="92"/>
    <n v="1899"/>
    <n v="24"/>
    <x v="44"/>
    <x v="2"/>
    <x v="14"/>
    <x v="13"/>
    <x v="2"/>
  </r>
  <r>
    <x v="101"/>
    <x v="93"/>
    <n v="260"/>
    <n v="62"/>
    <x v="6"/>
    <x v="0"/>
    <x v="14"/>
    <x v="13"/>
    <x v="2"/>
  </r>
  <r>
    <x v="102"/>
    <x v="94"/>
    <n v="1737"/>
    <n v="587"/>
    <x v="10"/>
    <x v="0"/>
    <x v="14"/>
    <x v="13"/>
    <x v="2"/>
  </r>
  <r>
    <x v="103"/>
    <x v="43"/>
    <n v="1810"/>
    <n v="620"/>
    <x v="10"/>
    <x v="0"/>
    <x v="14"/>
    <x v="13"/>
    <x v="2"/>
  </r>
  <r>
    <x v="104"/>
    <x v="95"/>
    <n v="1699"/>
    <n v="41"/>
    <x v="30"/>
    <x v="2"/>
    <x v="14"/>
    <x v="13"/>
    <x v="2"/>
  </r>
  <r>
    <x v="105"/>
    <x v="96"/>
    <n v="1799"/>
    <n v="31"/>
    <x v="30"/>
    <x v="2"/>
    <x v="14"/>
    <x v="13"/>
    <x v="2"/>
  </r>
  <r>
    <x v="106"/>
    <x v="46"/>
    <n v="553"/>
    <n v="354"/>
    <x v="45"/>
    <x v="1"/>
    <x v="14"/>
    <x v="13"/>
    <x v="2"/>
  </r>
  <r>
    <x v="107"/>
    <x v="97"/>
    <n v="900"/>
    <n v="450"/>
    <x v="29"/>
    <x v="1"/>
    <x v="18"/>
    <x v="23"/>
    <x v="2"/>
  </r>
  <r>
    <x v="108"/>
    <x v="98"/>
    <n v="320"/>
    <n v="151"/>
    <x v="1"/>
    <x v="1"/>
    <x v="14"/>
    <x v="1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s v="115  Piece Set Of Multifunctional Precision Screwdrivers"/>
    <n v="950"/>
    <n v="1525"/>
    <n v="575"/>
    <n v="0.38"/>
    <s v="medium"/>
    <n v="2"/>
    <n v="4.5"/>
    <x v="0"/>
  </r>
  <r>
    <s v="Metal Decorative Hooks Key Hangers Entryway Wall Hooks Towel Hooks - Home"/>
    <n v="527"/>
    <n v="999"/>
    <n v="472"/>
    <n v="0.47"/>
    <s v="high"/>
    <n v="14"/>
    <n v="4.0999999999999996"/>
    <x v="1"/>
  </r>
  <r>
    <s v="Portable Mini Cordless Car Vacuum Cleaner - Blue"/>
    <n v="2199"/>
    <n v="2923"/>
    <n v="724"/>
    <n v="0.25"/>
    <s v="medium"/>
    <n v="24"/>
    <n v="4.5999999999999996"/>
    <x v="0"/>
  </r>
  <r>
    <s v="Weighing Scale Digital Bathroom Body Fat Scale USB-Black"/>
    <n v="1580"/>
    <n v="2499"/>
    <n v="919"/>
    <n v="0.37"/>
    <s v="medium"/>
    <n v="7"/>
    <n v="4.7"/>
    <x v="0"/>
  </r>
  <r>
    <s v="Portable Home Small Air Humidifier 3-Speed Fan - Green"/>
    <n v="1740"/>
    <n v="2356"/>
    <n v="616"/>
    <n v="0.26"/>
    <s v="medium"/>
    <n v="5"/>
    <n v="4.8"/>
    <x v="0"/>
  </r>
  <r>
    <s v="220V 60W Electric Soldering Iron Kits With Tools, Tips, And Multimeter"/>
    <n v="2999"/>
    <n v="3290"/>
    <n v="291"/>
    <n v="0.09"/>
    <s v="low"/>
    <n v="15"/>
    <n v="4"/>
    <x v="1"/>
  </r>
  <r>
    <s v="137 Pieces Cake Decorating Tool Set Baking Supplies"/>
    <n v="2319"/>
    <n v="3032"/>
    <n v="713"/>
    <n v="0.24"/>
    <s v="medium"/>
    <n v="55"/>
    <n v="4.5999999999999996"/>
    <x v="0"/>
  </r>
  <r>
    <s v="Desk Foldable Fan Adjustable Fan Strong Wind 3 Gear Usb"/>
    <n v="988"/>
    <n v="1580"/>
    <n v="592"/>
    <n v="0.37"/>
    <s v="medium"/>
    <n v="2"/>
    <n v="4"/>
    <x v="1"/>
  </r>
  <r>
    <s v="LASA FOLDING TABLE SERVING STAND"/>
    <n v="1274"/>
    <n v="2800"/>
    <n v="1526"/>
    <n v="0.55000000000000004"/>
    <s v="high"/>
    <n v="5"/>
    <n v="4.8"/>
    <x v="0"/>
  </r>
  <r>
    <s v="13 In 1 Home Repair Tools Box Kit Set"/>
    <n v="1600"/>
    <n v="2929"/>
    <n v="1329"/>
    <n v="0.45"/>
    <s v="high"/>
    <n v="5"/>
    <n v="3.8"/>
    <x v="1"/>
  </r>
  <r>
    <s v="Genebre 115 In 1 Screwdriver Repairing Tool Set For IPhone Cellphone Hand Tool"/>
    <n v="799"/>
    <n v="999"/>
    <n v="200"/>
    <n v="0.2"/>
    <s v="medium"/>
    <n v="12"/>
    <n v="4.0999999999999996"/>
    <x v="1"/>
  </r>
  <r>
    <s v="100 Pcs Crochet Hook Tool Set Knitting Hook Set With Box"/>
    <n v="990"/>
    <n v="1500"/>
    <n v="510"/>
    <n v="0.34"/>
    <s v="medium"/>
    <n v="39"/>
    <n v="4.7"/>
    <x v="0"/>
  </r>
  <r>
    <s v="40cm Gold DIY Acrylic Wall Sticker Clock"/>
    <n v="552"/>
    <n v="1035"/>
    <n v="483"/>
    <n v="0.47"/>
    <s v="high"/>
    <n v="12"/>
    <n v="4.8"/>
    <x v="0"/>
  </r>
  <r>
    <s v="LASA Digital Thermometer And Hydrometer"/>
    <n v="501"/>
    <n v="860"/>
    <n v="359"/>
    <n v="0.42"/>
    <s v="high"/>
    <n v="6"/>
    <n v="4.5"/>
    <x v="0"/>
  </r>
  <r>
    <s v="Multifunction Laser Level With Adjustment Tripod"/>
    <n v="1680"/>
    <n v="2499"/>
    <n v="819"/>
    <n v="0.33"/>
    <s v="medium"/>
    <n v="9"/>
    <n v="4.2"/>
    <x v="1"/>
  </r>
  <r>
    <s v="Anti-Skid Absorbent Insulation Coaster  For Home Office"/>
    <n v="332"/>
    <n v="684"/>
    <n v="352"/>
    <n v="0.51"/>
    <s v="high"/>
    <n v="2"/>
    <n v="5"/>
    <x v="0"/>
  </r>
  <r>
    <s v="Peacock  Throw Pillow Cushion Case For Home Car"/>
    <n v="195"/>
    <n v="360"/>
    <n v="165"/>
    <n v="0.46"/>
    <s v="high"/>
    <n v="2"/>
    <n v="5"/>
    <x v="0"/>
  </r>
  <r>
    <s v="LASA Aluminum Folding Truck Hand Cart - 68kg Max"/>
    <n v="2025"/>
    <n v="3971"/>
    <n v="1946"/>
    <n v="0.49"/>
    <s v="high"/>
    <n v="3"/>
    <n v="5"/>
    <x v="0"/>
  </r>
  <r>
    <s v="LED Wall Digital Alarm Clock Study Home 12 / 24H Clock Calendar"/>
    <n v="2999"/>
    <n v="3699"/>
    <n v="700"/>
    <n v="0.19"/>
    <s v="low"/>
    <n v="5"/>
    <n v="4.5999999999999996"/>
    <x v="0"/>
  </r>
  <r>
    <s v="3D Waterproof EVA Plastic Shower Curtain 1.8*2Mtrs"/>
    <n v="998"/>
    <n v="1966"/>
    <n v="968"/>
    <n v="0.49"/>
    <s v="high"/>
    <n v="44"/>
    <n v="4.5999999999999996"/>
    <x v="0"/>
  </r>
  <r>
    <s v="3PCS Single Head Knitting Crochet Sweater Needle Set"/>
    <n v="38"/>
    <n v="80"/>
    <n v="42"/>
    <n v="0.53"/>
    <s v="high"/>
    <n v="13"/>
    <n v="3.3"/>
    <x v="1"/>
  </r>
  <r>
    <s v="4pcs Bathroom/Kitchen Towel Rack,Roll Paper Holder,Towel Bars,Hook"/>
    <n v="1860"/>
    <n v="3220"/>
    <n v="1360"/>
    <n v="0.42"/>
    <s v="high"/>
    <n v="0"/>
    <n v="0"/>
    <x v="2"/>
  </r>
  <r>
    <s v="LED Romantic Spaceship Starry Sky Projector,Children's Bedroom Night Light-Blue"/>
    <n v="880"/>
    <n v="1350"/>
    <n v="470"/>
    <n v="0.35"/>
    <s v="medium"/>
    <n v="6"/>
    <n v="4"/>
    <x v="1"/>
  </r>
  <r>
    <s v="Foldable Overbed Table/Desk"/>
    <n v="1650"/>
    <n v="2150"/>
    <n v="500"/>
    <n v="0.23"/>
    <s v="medium"/>
    <n v="14"/>
    <n v="4.4000000000000004"/>
    <x v="1"/>
  </r>
  <r>
    <s v="LASA 3 Tier Bamboo Shoe Bench Storage Shelf"/>
    <n v="2048"/>
    <n v="4500"/>
    <n v="2452"/>
    <n v="0.54"/>
    <s v="high"/>
    <n v="7"/>
    <n v="4.3"/>
    <x v="1"/>
  </r>
  <r>
    <s v="Electronic Digital Display Vernier Caliper"/>
    <n v="420"/>
    <n v="647"/>
    <n v="227"/>
    <n v="0.35"/>
    <s v="medium"/>
    <n v="49"/>
    <n v="4.5999999999999996"/>
    <x v="0"/>
  </r>
  <r>
    <s v="Portable Wardrobe Nonwoven With 3 Hanging Rods And 6 Storage Shelves"/>
    <n v="2880"/>
    <n v="3520"/>
    <n v="640"/>
    <n v="0.18"/>
    <s v="low"/>
    <n v="12"/>
    <n v="3.8"/>
    <x v="1"/>
  </r>
  <r>
    <s v="12 Litre Black Insulated Lunch Box"/>
    <n v="1350"/>
    <n v="1990"/>
    <n v="640"/>
    <n v="0.32"/>
    <s v="medium"/>
    <n v="13"/>
    <n v="3.8"/>
    <x v="1"/>
  </r>
  <r>
    <s v="52 Pieces Cake Decorating Tool Set Gift Kit Baking Supplies"/>
    <n v="1758"/>
    <n v="2499"/>
    <n v="741"/>
    <n v="0.3"/>
    <s v="medium"/>
    <n v="20"/>
    <n v="4.0999999999999996"/>
    <x v="1"/>
  </r>
  <r>
    <s v="MultiFunctional Storage Rack Multi-layer Bookshelf"/>
    <n v="2200"/>
    <n v="4080"/>
    <n v="1880"/>
    <n v="0.46"/>
    <s v="high"/>
    <n v="0"/>
    <n v="0"/>
    <x v="2"/>
  </r>
  <r>
    <s v="Exfoliate And Exfoliate Face Towel - Black"/>
    <n v="185"/>
    <n v="382"/>
    <n v="197"/>
    <n v="0.52"/>
    <s v="high"/>
    <n v="9"/>
    <n v="4.3"/>
    <x v="1"/>
  </r>
  <r>
    <s v="12 Litre Insulated Lunch Box Grey"/>
    <n v="980"/>
    <n v="1490"/>
    <n v="510"/>
    <n v="0.34"/>
    <s v="medium"/>
    <n v="12"/>
    <n v="4.7"/>
    <x v="0"/>
  </r>
  <r>
    <s v="LED Eye Protection  Desk Lamp , Study, Reading, USB Fan - Double Pen Holder"/>
    <n v="1820"/>
    <n v="3490"/>
    <n v="1670"/>
    <n v="0.48"/>
    <s v="high"/>
    <n v="9"/>
    <n v="4.3"/>
    <x v="1"/>
  </r>
  <r>
    <s v="53Pcs/Set Yarn Knitting Crochet Hooks With Bag - Fortune Cat"/>
    <n v="1940"/>
    <n v="2650"/>
    <n v="710"/>
    <n v="0.27"/>
    <s v="medium"/>
    <n v="20"/>
    <n v="4.7"/>
    <x v="0"/>
  </r>
  <r>
    <s v="53 Pieces/Set Yarn Knitting Crochet Hooks With Bag - Pansies"/>
    <n v="1980"/>
    <n v="2699"/>
    <n v="719"/>
    <n v="0.27"/>
    <s v="medium"/>
    <n v="32"/>
    <n v="4.5"/>
    <x v="0"/>
  </r>
  <r>
    <s v="DIY File Folder, Office Drawer File Holder, Pen Holder, Desktop Storage Rack"/>
    <n v="1620"/>
    <n v="2690"/>
    <n v="1070"/>
    <n v="0.4"/>
    <s v="medium"/>
    <n v="1"/>
    <n v="5"/>
    <x v="0"/>
  </r>
  <r>
    <s v="Classic Black Cat Cotton Hemp Pillow Case For Home Car"/>
    <n v="171"/>
    <n v="360"/>
    <n v="189"/>
    <n v="0.53"/>
    <s v="high"/>
    <n v="2"/>
    <n v="5"/>
    <x v="0"/>
  </r>
  <r>
    <s v="Punch-free Great Load Bearing Bathroom Storage Rack Wall Shelf-White"/>
    <n v="389"/>
    <n v="656"/>
    <n v="267"/>
    <n v="0.41"/>
    <s v="high"/>
    <n v="36"/>
    <n v="4.3"/>
    <x v="1"/>
  </r>
  <r>
    <s v="1/2/3 Seater Elastic Sofa Cover,Living Room/Home Decor Chair Cover-Grey"/>
    <n v="1980"/>
    <n v="3200"/>
    <n v="1220"/>
    <n v="0.38"/>
    <s v="medium"/>
    <n v="2"/>
    <n v="4.5"/>
    <x v="0"/>
  </r>
  <r>
    <s v="LASA Stainless Steel Double Wall Mount Soap Dispenser - 500ml"/>
    <n v="2750"/>
    <n v="4471"/>
    <n v="1721"/>
    <n v="0.38"/>
    <s v="medium"/>
    <n v="0"/>
    <n v="0"/>
    <x v="2"/>
  </r>
  <r>
    <s v="4M Float Switch Water Level Controller -Water Tank"/>
    <n v="475"/>
    <n v="931"/>
    <n v="456"/>
    <n v="0.49"/>
    <s v="high"/>
    <n v="0"/>
    <n v="0"/>
    <x v="2"/>
  </r>
  <r>
    <s v="Modern Sofa Throw Pillow Cover-45x45cm-Blue&amp;Red"/>
    <n v="238"/>
    <n v="476"/>
    <n v="238"/>
    <n v="0.5"/>
    <s v="high"/>
    <n v="0"/>
    <n v="0"/>
    <x v="2"/>
  </r>
  <r>
    <s v="Balloon Insert, Birthday Party Balloon Set, PU Leather"/>
    <n v="610"/>
    <n v="1060"/>
    <n v="450"/>
    <n v="0.42"/>
    <s v="high"/>
    <n v="0"/>
    <n v="0"/>
    <x v="2"/>
  </r>
  <r>
    <s v="Shower Cap Wide Elastic Band Cover Reusable Bashroom Cap"/>
    <n v="2132"/>
    <n v="2169"/>
    <n v="37"/>
    <n v="0.02"/>
    <s v="low"/>
    <n v="0"/>
    <n v="0"/>
    <x v="2"/>
  </r>
  <r>
    <s v="Christmas Elk Fence Yard Lawn Decorations Cute For Holidays"/>
    <n v="999"/>
    <n v="2000"/>
    <n v="1001"/>
    <n v="0.5"/>
    <s v="high"/>
    <n v="0"/>
    <n v="0"/>
    <x v="2"/>
  </r>
  <r>
    <s v="60W Hot Melt Glue Sprayer - Efficient And Stable Glue Dispensing"/>
    <n v="1190"/>
    <n v="1785"/>
    <n v="595"/>
    <n v="0.33"/>
    <s v="medium"/>
    <n v="0"/>
    <n v="0"/>
    <x v="2"/>
  </r>
  <r>
    <s v="Car Phone Charging Stand"/>
    <n v="671"/>
    <n v="1316"/>
    <n v="645"/>
    <n v="0.49"/>
    <s v="high"/>
    <n v="0"/>
    <n v="0"/>
    <x v="2"/>
  </r>
  <r>
    <s v="2pcs Solar Street Light Flood Light Outdoor"/>
    <n v="1200"/>
    <n v="1950"/>
    <n v="750"/>
    <n v="0.38"/>
    <s v="medium"/>
    <n v="0"/>
    <n v="0"/>
    <x v="2"/>
  </r>
  <r>
    <s v="Creative Owl Shape Keychain Black"/>
    <n v="199"/>
    <n v="504"/>
    <n v="305"/>
    <n v="0.61"/>
    <s v="high"/>
    <n v="0"/>
    <n v="0"/>
    <x v="2"/>
  </r>
  <r>
    <s v="Brush &amp; Paintbrush Cleaning Tool Pink"/>
    <n v="299"/>
    <n v="600"/>
    <n v="301"/>
    <n v="0.5"/>
    <s v="high"/>
    <n v="0"/>
    <n v="0"/>
    <x v="2"/>
  </r>
  <r>
    <s v="Pen Grips For Kids Pen Grip Posture Correction Tool For Kids"/>
    <n v="1660"/>
    <n v="1699"/>
    <n v="39"/>
    <n v="0.02"/>
    <s v="low"/>
    <n v="0"/>
    <n v="0"/>
    <x v="2"/>
  </r>
  <r>
    <s v="Pilates Cloth Bag Waterproof Durable High Capacity Purple"/>
    <n v="299"/>
    <n v="384"/>
    <n v="85"/>
    <n v="0.22"/>
    <s v="medium"/>
    <n v="0"/>
    <n v="0"/>
    <x v="2"/>
  </r>
  <r>
    <s v="Multi-purpose Rice Drainage Basket And Fruit And Vegetable Drainage Sieve"/>
    <n v="1459"/>
    <n v="1499"/>
    <n v="40"/>
    <n v="0.03"/>
    <s v="low"/>
    <n v="0"/>
    <n v="0"/>
    <x v="2"/>
  </r>
  <r>
    <s v="Cute Christmas Fence Garden Decorations For Holiday Home"/>
    <n v="799"/>
    <n v="1343"/>
    <n v="544"/>
    <n v="0.41"/>
    <s v="high"/>
    <n v="0"/>
    <n v="0"/>
    <x v="2"/>
  </r>
  <r>
    <s v="Simple Metal Dog Art Sculpture Decoration For Home Office"/>
    <n v="499"/>
    <n v="900"/>
    <n v="401"/>
    <n v="0.45"/>
    <s v="high"/>
    <n v="0"/>
    <n v="0"/>
    <x v="2"/>
  </r>
  <r>
    <s v="Christmas Fence Garden Decorations Outdoor For Holiday Home"/>
    <n v="699"/>
    <n v="1343"/>
    <n v="644"/>
    <n v="0.48"/>
    <s v="high"/>
    <n v="0"/>
    <n v="0"/>
    <x v="2"/>
  </r>
  <r>
    <s v="Angle Measuring Tool Full Metal Multi Angle Measuring Tool"/>
    <n v="799"/>
    <n v="1567"/>
    <n v="768"/>
    <n v="0.49"/>
    <s v="high"/>
    <n v="0"/>
    <n v="0"/>
    <x v="2"/>
  </r>
  <r>
    <s v="12V 19500rpm Handheld Electric Angle Grinder Tool - UK - Yellow/Black"/>
    <n v="2799"/>
    <n v="3810"/>
    <n v="1011"/>
    <n v="0.27"/>
    <s v="medium"/>
    <n v="0"/>
    <n v="0"/>
    <x v="2"/>
  </r>
  <r>
    <s v="5 Pieces/set Of Stainless Steel Induction Cooker Pots"/>
    <n v="2170"/>
    <n v="2500"/>
    <n v="330"/>
    <n v="0.13"/>
    <s v="low"/>
    <n v="6"/>
    <n v="2.5"/>
    <x v="2"/>
  </r>
  <r>
    <s v="Mythco 120COB Solar Wall Ligt With Motion Sensor And Remote Control 3 Modes"/>
    <n v="458"/>
    <n v="986"/>
    <n v="528"/>
    <n v="0.54"/>
    <s v="high"/>
    <n v="10"/>
    <n v="3"/>
    <x v="1"/>
  </r>
  <r>
    <s v="5-PCS Stainless Steel Cooking Pot Set With Steamed Slices"/>
    <n v="2115"/>
    <n v="4700"/>
    <n v="2585"/>
    <n v="0.55000000000000004"/>
    <s v="high"/>
    <n v="13"/>
    <n v="2.1"/>
    <x v="2"/>
  </r>
  <r>
    <s v="120W Cordless Vacuum Cleaners Handheld Electric Vacuum Cleaner"/>
    <n v="445"/>
    <n v="873"/>
    <n v="428"/>
    <n v="0.49"/>
    <s v="high"/>
    <n v="69"/>
    <n v="2.8"/>
    <x v="2"/>
  </r>
  <r>
    <s v="Intelligent  LED Body Sensor Wireless Lighting Night Light USB"/>
    <n v="325"/>
    <n v="680"/>
    <n v="355"/>
    <n v="0.52"/>
    <s v="high"/>
    <n v="15"/>
    <n v="2.7"/>
    <x v="2"/>
  </r>
  <r>
    <s v="VIC Wireless Vacuum Cleaner Dual Use For Home And Car 120W High Power Powerful"/>
    <n v="1220"/>
    <n v="1555"/>
    <n v="335"/>
    <n v="0.22"/>
    <s v="medium"/>
    <n v="16"/>
    <n v="2.9"/>
    <x v="2"/>
  </r>
  <r>
    <s v="Artificial Potted Flowers Room Decorative Flowers (2 Pieces)"/>
    <n v="990"/>
    <n v="1814"/>
    <n v="824"/>
    <n v="0.45"/>
    <s v="high"/>
    <n v="6"/>
    <n v="2.2000000000000002"/>
    <x v="2"/>
  </r>
  <r>
    <s v="380ML USB Rechargeable Portable Small Blenders And Juicers"/>
    <n v="1000"/>
    <n v="2000"/>
    <n v="1000"/>
    <n v="0.5"/>
    <s v="high"/>
    <n v="7"/>
    <n v="2.2999999999999998"/>
    <x v="2"/>
  </r>
  <r>
    <s v="32PCS Portable Cordless Drill Set With Cyclic Battery Drive -26 Variable Speed"/>
    <n v="3750"/>
    <n v="6143"/>
    <n v="2393"/>
    <n v="0.39"/>
    <s v="medium"/>
    <n v="5"/>
    <n v="3"/>
    <x v="1"/>
  </r>
  <r>
    <s v="Agapeon Toothbrush Holder And Toothpaste Dispenser"/>
    <n v="382"/>
    <n v="700"/>
    <n v="318"/>
    <n v="0.45"/>
    <s v="high"/>
    <n v="17"/>
    <n v="2.6"/>
    <x v="2"/>
  </r>
  <r>
    <s v="Large Lazy Inflatable Sofa Chairs PVC Lounger Seat Bag"/>
    <n v="2300"/>
    <n v="3240"/>
    <n v="940"/>
    <n v="0.28999999999999998"/>
    <s v="medium"/>
    <n v="5"/>
    <n v="3"/>
    <x v="1"/>
  </r>
  <r>
    <s v="Watercolour Gold Foil Textured Print Pillow Cover"/>
    <n v="345"/>
    <n v="602"/>
    <n v="257"/>
    <n v="0.43"/>
    <s v="high"/>
    <n v="6"/>
    <n v="2.2999999999999998"/>
    <x v="2"/>
  </r>
  <r>
    <s v="Wrought Iron Bathroom Shelf Wall Mounted Free Punch Toilet Rack"/>
    <n v="509"/>
    <n v="899"/>
    <n v="390"/>
    <n v="0.43"/>
    <s v="high"/>
    <n v="5"/>
    <n v="3"/>
    <x v="1"/>
  </r>
  <r>
    <s v="7-piece Set Of Storage Bags, Travel Storage Bags, Shoe Bags"/>
    <n v="968"/>
    <n v="1814"/>
    <n v="846"/>
    <n v="0.47"/>
    <s v="high"/>
    <n v="6"/>
    <n v="2.2000000000000002"/>
    <x v="2"/>
  </r>
  <r>
    <s v="Electric LED UV Mosquito Killer Lamp, Outdoor/Indoor Fly Killer Trap Light -USB"/>
    <n v="1570"/>
    <n v="2988"/>
    <n v="1418"/>
    <n v="0.47"/>
    <s v="high"/>
    <n v="7"/>
    <n v="2.1"/>
    <x v="2"/>
  </r>
  <r>
    <s v="2PCS/LOT Solar LED Outdoor Intelligent Light Controlled Wall Lamp"/>
    <n v="790"/>
    <n v="1485"/>
    <n v="695"/>
    <n v="0.47"/>
    <s v="high"/>
    <n v="0"/>
    <n v="0"/>
    <x v="2"/>
  </r>
  <r>
    <s v="3PCS Rotary Scraper Thermomix For Kitchen"/>
    <n v="690"/>
    <n v="1200"/>
    <n v="510"/>
    <n v="0.43"/>
    <s v="high"/>
    <n v="0"/>
    <n v="0"/>
    <x v="2"/>
  </r>
  <r>
    <s v="Cushion Silicone Butt Cushion Summer Ice Cushion Honeycomb Gel Cushion"/>
    <n v="1732"/>
    <n v="1799"/>
    <n v="67"/>
    <n v="0.04"/>
    <s v="low"/>
    <n v="0"/>
    <n v="0"/>
    <x v="2"/>
  </r>
  <r>
    <s v="7PCS Silicone Thumb Knife Finger Protector Vegetable Harvesting Knife"/>
    <n v="230"/>
    <n v="450"/>
    <n v="220"/>
    <n v="0.49"/>
    <s v="high"/>
    <n v="0"/>
    <n v="0"/>
    <x v="2"/>
  </r>
  <r>
    <s v="Memory Foam Neck Pillow Cover, With Pillow Core - 50*30cm"/>
    <n v="1189"/>
    <n v="2199"/>
    <n v="1010"/>
    <n v="0.46"/>
    <s v="high"/>
    <n v="1"/>
    <n v="3"/>
    <x v="1"/>
  </r>
  <r>
    <s v="Bedroom Simple Floor Hanging Clothes Rack Single Pole Hat Rack - White"/>
    <n v="979"/>
    <n v="1920"/>
    <n v="941"/>
    <n v="0.49"/>
    <s v="high"/>
    <n v="1"/>
    <n v="5"/>
    <x v="0"/>
  </r>
  <r>
    <s v="5m Waterproof Spherical LED String Lights Outdoor Ball Chain Lights Party Lighting Decoration Adjustable"/>
    <n v="1460"/>
    <n v="2290"/>
    <n v="830"/>
    <n v="0.36"/>
    <s v="medium"/>
    <n v="0"/>
    <n v="0"/>
    <x v="2"/>
  </r>
  <r>
    <s v="2 Pairs Cowhide Split Leather Work Gloves.32â„‰ Or Above Welding Gloves"/>
    <n v="1666"/>
    <n v="1699"/>
    <n v="33"/>
    <n v="0.02"/>
    <s v="low"/>
    <n v="0"/>
    <n v="0"/>
    <x v="2"/>
  </r>
  <r>
    <s v="Household Pineapple Peeler Peeler"/>
    <n v="330"/>
    <n v="647"/>
    <n v="317"/>
    <n v="0.49"/>
    <s v="high"/>
    <n v="1"/>
    <n v="4"/>
    <x v="1"/>
  </r>
  <r>
    <s v="Office Chair Lumbar Back Support Spine Posture Correction Pillow Car Cushion"/>
    <n v="1466"/>
    <n v="1699"/>
    <n v="233"/>
    <n v="0.14000000000000001"/>
    <s v="low"/>
    <n v="0"/>
    <n v="0"/>
    <x v="2"/>
  </r>
  <r>
    <s v="Cartoon Car Decoration Cute Individuality For Car Home Desk"/>
    <n v="274"/>
    <n v="537"/>
    <n v="263"/>
    <n v="0.49"/>
    <s v="high"/>
    <n v="0"/>
    <n v="0"/>
    <x v="2"/>
  </r>
  <r>
    <s v="Outdoor Portable Water Bottle With Medicine Box - 600ML - Black"/>
    <n v="799"/>
    <n v="900"/>
    <n v="101"/>
    <n v="0.11"/>
    <s v="low"/>
    <n v="0"/>
    <n v="0"/>
    <x v="2"/>
  </r>
  <r>
    <s v="Wall-Mounted Toothbrush Toothpaste Holder With Multiple Slots"/>
    <n v="1468"/>
    <n v="1699"/>
    <n v="231"/>
    <n v="0.14000000000000001"/>
    <s v="low"/>
    <n v="0"/>
    <n v="0"/>
    <x v="2"/>
  </r>
  <r>
    <s v="Multifunctional Hanging Storage Box Storage Bag (4 Layers)"/>
    <n v="630"/>
    <n v="1100"/>
    <n v="470"/>
    <n v="0.43"/>
    <s v="high"/>
    <n v="0"/>
    <n v="0"/>
    <x v="2"/>
  </r>
  <r>
    <s v="Wall Clock With Hidden Safe Box"/>
    <n v="850"/>
    <n v="1700"/>
    <n v="850"/>
    <n v="0.5"/>
    <s v="high"/>
    <n v="0"/>
    <n v="0"/>
    <x v="2"/>
  </r>
  <r>
    <s v="Portable Wine Table With Folding Round Table"/>
    <n v="1300"/>
    <n v="2500"/>
    <n v="1200"/>
    <n v="0.48"/>
    <s v="high"/>
    <n v="0"/>
    <n v="0"/>
    <x v="2"/>
  </r>
  <r>
    <s v="Sewing Machine Needle Threader Stitch Insertion Tool Automatic Quick Sewing"/>
    <n v="105"/>
    <n v="200"/>
    <n v="95"/>
    <n v="0.48"/>
    <s v="high"/>
    <n v="0"/>
    <n v="0"/>
    <x v="2"/>
  </r>
  <r>
    <s v="6 Layers Steel Pipe Assembling Dustproof Storage Shoe Cabinet"/>
    <n v="899"/>
    <n v="1699"/>
    <n v="800"/>
    <n v="0.47"/>
    <s v="high"/>
    <n v="0"/>
    <n v="0"/>
    <x v="2"/>
  </r>
  <r>
    <s v="2PCS Ice Silk Square Cushion Cover Pillowcases - 65x65cm"/>
    <n v="1200"/>
    <n v="2400"/>
    <n v="1200"/>
    <n v="0.5"/>
    <s v="high"/>
    <n v="0"/>
    <n v="0"/>
    <x v="2"/>
  </r>
  <r>
    <s v="Wall Mount Automatic Toothpaste Dispenser Toothbrush Holder Toothpaste Squeezer"/>
    <n v="1526"/>
    <n v="1660"/>
    <n v="134"/>
    <n v="0.08"/>
    <s v="low"/>
    <n v="0"/>
    <n v="0"/>
    <x v="2"/>
  </r>
  <r>
    <s v="Portable Soap Dispenser Kitchen Detergent Press Box Kitchen Tools"/>
    <n v="1462"/>
    <n v="1499"/>
    <n v="37"/>
    <n v="0.02"/>
    <s v="low"/>
    <n v="0"/>
    <n v="0"/>
    <x v="2"/>
  </r>
  <r>
    <s v="4 Piece Coloured Stainless Steel Kitchenware Set"/>
    <n v="248"/>
    <n v="486"/>
    <n v="238"/>
    <n v="0.49"/>
    <s v="high"/>
    <n v="0"/>
    <n v="0"/>
    <x v="2"/>
  </r>
  <r>
    <s v="Metal Wall Clock Silver Dial Crystal Jewelry Round Home Decoration Wall Clock"/>
    <n v="3546"/>
    <n v="3699"/>
    <n v="153"/>
    <n v="0.04"/>
    <s v="low"/>
    <n v="0"/>
    <n v="0"/>
    <x v="2"/>
  </r>
  <r>
    <s v="Baby Early Education Shape And Color Cognitive Training Toys"/>
    <n v="525"/>
    <n v="1029"/>
    <n v="504"/>
    <n v="0.49"/>
    <s v="high"/>
    <n v="0"/>
    <n v="0"/>
    <x v="2"/>
  </r>
  <r>
    <s v="8in1 Screwdriver With LED Light"/>
    <n v="1080"/>
    <n v="1874"/>
    <n v="794"/>
    <n v="0.42"/>
    <s v="high"/>
    <n v="0"/>
    <n v="0"/>
    <x v="2"/>
  </r>
  <r>
    <s v="Konka Healty Electric Kettle, 24-hour Heat Preservation,1.5L,800W, White"/>
    <n v="3640"/>
    <n v="4588"/>
    <n v="948"/>
    <n v="0.21"/>
    <s v="medium"/>
    <n v="1"/>
    <n v="5"/>
    <x v="0"/>
  </r>
  <r>
    <s v="9pcs Gas Mask, For Painting, Dust, Formaldehyde Grinding, Polishing"/>
    <n v="1420"/>
    <n v="2420"/>
    <n v="1000"/>
    <n v="0.41"/>
    <s v="high"/>
    <n v="0"/>
    <n v="0"/>
    <x v="2"/>
  </r>
  <r>
    <s v="24 Grid Wall-mounted Sundries Organiser Fabric Closet Bag Storage Rack"/>
    <n v="1875"/>
    <n v="1899"/>
    <n v="24"/>
    <n v="0.01"/>
    <s v="low"/>
    <n v="0"/>
    <n v="0"/>
    <x v="2"/>
  </r>
  <r>
    <s v="1PC Refrigerator Food Seal Pocket Fridge Bags"/>
    <n v="198"/>
    <n v="260"/>
    <n v="62"/>
    <n v="0.24"/>
    <s v="medium"/>
    <n v="0"/>
    <n v="0"/>
    <x v="2"/>
  </r>
  <r>
    <s v="LED Solar Street Light-fake Camera"/>
    <n v="1150"/>
    <n v="1737"/>
    <n v="587"/>
    <n v="0.34"/>
    <s v="medium"/>
    <n v="0"/>
    <n v="0"/>
    <x v="2"/>
  </r>
  <r>
    <s v="Cartoon Embroidered Mini Towel Bear Cotton Wash Cloth Hand 4pcs"/>
    <n v="1190"/>
    <n v="1810"/>
    <n v="620"/>
    <n v="0.34"/>
    <s v="medium"/>
    <n v="0"/>
    <n v="0"/>
    <x v="2"/>
  </r>
  <r>
    <s v="Shower Nozzle Cleaning Unclogging Needle Mini Crevice Small Hole Cleaning Brush"/>
    <n v="1658"/>
    <n v="1699"/>
    <n v="41"/>
    <n v="0.02"/>
    <s v="low"/>
    <n v="0"/>
    <n v="0"/>
    <x v="2"/>
  </r>
  <r>
    <s v="Thickening Multipurpose Non Stick Easy To Clean Heat Resistant Spoon Pad"/>
    <n v="1768"/>
    <n v="1799"/>
    <n v="31"/>
    <n v="0.02"/>
    <s v="low"/>
    <n v="0"/>
    <n v="0"/>
    <x v="2"/>
  </r>
  <r>
    <s v="6 In 1 Bottle Can Opener Multifunctional Easy Opener"/>
    <n v="199"/>
    <n v="553"/>
    <n v="354"/>
    <n v="0.64"/>
    <s v="high"/>
    <n v="0"/>
    <n v="0"/>
    <x v="2"/>
  </r>
  <r>
    <s v="Wall-mounted Sticker Punch-free Plug Fixer"/>
    <n v="450"/>
    <n v="900"/>
    <n v="450"/>
    <n v="0.5"/>
    <s v="high"/>
    <n v="1"/>
    <n v="2"/>
    <x v="2"/>
  </r>
  <r>
    <s v="Black Simple Water Cup Wine Coaster Anti Slip Absorbent"/>
    <n v="169"/>
    <n v="320"/>
    <n v="151"/>
    <n v="0.47"/>
    <s v="high"/>
    <n v="0"/>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970F8A-3847-4F0C-AF9F-6CBDE82879BC}" name="PivotTable1" cacheId="1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C7" firstHeaderRow="0" firstDataRow="1" firstDataCol="1"/>
  <pivotFields count="9">
    <pivotField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dataField="1"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axis="axisRow" showAll="0">
      <items count="4">
        <item x="1"/>
        <item x="2"/>
        <item x="0"/>
        <item t="default"/>
      </items>
    </pivotField>
    <pivotField numFmtId="1" showAll="0">
      <items count="10">
        <item x="0"/>
        <item x="1"/>
        <item x="2"/>
        <item x="3"/>
        <item x="4"/>
        <item x="5"/>
        <item x="6"/>
        <item x="7"/>
        <item x="8"/>
        <item t="default"/>
      </items>
    </pivotField>
    <pivotField dataField="1" showAll="0">
      <items count="25">
        <item x="13"/>
        <item x="23"/>
        <item x="16"/>
        <item x="20"/>
        <item x="21"/>
        <item x="14"/>
        <item x="22"/>
        <item x="18"/>
        <item x="17"/>
        <item x="19"/>
        <item x="15"/>
        <item x="9"/>
        <item x="6"/>
        <item x="5"/>
        <item x="1"/>
        <item x="7"/>
        <item x="12"/>
        <item x="11"/>
        <item x="0"/>
        <item x="2"/>
        <item x="3"/>
        <item x="4"/>
        <item x="8"/>
        <item x="10"/>
        <item t="default"/>
      </items>
    </pivotField>
    <pivotField showAll="0">
      <items count="4">
        <item x="1"/>
        <item x="0"/>
        <item x="2"/>
        <item t="default"/>
      </items>
    </pivotField>
  </pivotFields>
  <rowFields count="1">
    <field x="5"/>
  </rowFields>
  <rowItems count="4">
    <i>
      <x/>
    </i>
    <i>
      <x v="1"/>
    </i>
    <i>
      <x v="2"/>
    </i>
    <i t="grand">
      <x/>
    </i>
  </rowItems>
  <colFields count="1">
    <field x="-2"/>
  </colFields>
  <colItems count="2">
    <i>
      <x/>
    </i>
    <i i="1">
      <x v="1"/>
    </i>
  </colItems>
  <dataFields count="2">
    <dataField name="Average of Ratingd" fld="7" subtotal="average" baseField="5" baseItem="0" numFmtId="2"/>
    <dataField name="Average of Discount" fld="4" subtotal="average" baseField="5" baseItem="0" numFmtId="9"/>
  </dataFields>
  <formats count="2">
    <format dxfId="10">
      <pivotArea outline="0" collapsedLevelsAreSubtotals="1" fieldPosition="0">
        <references count="1">
          <reference field="4294967294" count="1" selected="0">
            <x v="0"/>
          </reference>
        </references>
      </pivotArea>
    </format>
    <format dxfId="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08F8F2-A822-44E1-9FF7-CA4AEC5E122E}" name="PivotTable3" cacheId="1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7" firstHeaderRow="1" firstDataRow="1" firstDataCol="1"/>
  <pivotFields count="9">
    <pivotField dataField="1"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numFmtId="9" showAll="0"/>
    <pivotField showAll="0"/>
    <pivotField numFmtId="1" showAll="0">
      <items count="10">
        <item x="0"/>
        <item x="1"/>
        <item x="2"/>
        <item x="3"/>
        <item x="4"/>
        <item x="5"/>
        <item x="6"/>
        <item x="7"/>
        <item x="8"/>
        <item t="default"/>
      </items>
    </pivotField>
    <pivotField showAll="0">
      <items count="25">
        <item x="13"/>
        <item x="23"/>
        <item x="16"/>
        <item x="20"/>
        <item x="21"/>
        <item x="14"/>
        <item x="22"/>
        <item x="18"/>
        <item x="17"/>
        <item x="19"/>
        <item x="15"/>
        <item x="9"/>
        <item x="6"/>
        <item x="5"/>
        <item x="1"/>
        <item x="7"/>
        <item x="12"/>
        <item x="11"/>
        <item x="0"/>
        <item x="2"/>
        <item x="3"/>
        <item x="4"/>
        <item x="8"/>
        <item x="10"/>
        <item t="default"/>
      </items>
    </pivotField>
    <pivotField axis="axisRow" showAll="0">
      <items count="4">
        <item sd="0" x="1"/>
        <item sd="0" x="0"/>
        <item sd="0" x="2"/>
        <item t="default"/>
      </items>
    </pivotField>
  </pivotFields>
  <rowFields count="1">
    <field x="8"/>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107661-235A-445F-95F2-7DC38EB8A8DE}" name="PivotTable4" cacheId="1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3:B10" firstHeaderRow="1" firstDataRow="1" firstDataCol="1"/>
  <pivotFields count="9">
    <pivotField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axis="axisRow" numFmtId="1" showAll="0">
      <items count="10">
        <item x="0"/>
        <item x="1"/>
        <item x="2"/>
        <item x="3"/>
        <item x="4"/>
        <item x="5"/>
        <item x="6"/>
        <item x="7"/>
        <item x="8"/>
        <item t="default"/>
      </items>
    </pivotField>
    <pivotField dataField="1" showAll="0">
      <items count="25">
        <item x="13"/>
        <item x="23"/>
        <item x="16"/>
        <item x="20"/>
        <item x="21"/>
        <item x="14"/>
        <item x="22"/>
        <item x="18"/>
        <item x="17"/>
        <item x="19"/>
        <item x="15"/>
        <item x="9"/>
        <item x="6"/>
        <item x="5"/>
        <item x="1"/>
        <item x="7"/>
        <item x="12"/>
        <item x="11"/>
        <item x="0"/>
        <item x="2"/>
        <item x="3"/>
        <item x="4"/>
        <item x="8"/>
        <item x="10"/>
        <item t="default"/>
      </items>
    </pivotField>
    <pivotField showAll="0">
      <items count="4">
        <item x="1"/>
        <item x="0"/>
        <item x="2"/>
        <item t="default"/>
      </items>
    </pivotField>
  </pivotFields>
  <rowFields count="1">
    <field x="6"/>
  </rowFields>
  <rowItems count="7">
    <i>
      <x v="2"/>
    </i>
    <i>
      <x v="3"/>
    </i>
    <i>
      <x v="4"/>
    </i>
    <i>
      <x v="5"/>
    </i>
    <i>
      <x v="6"/>
    </i>
    <i>
      <x v="7"/>
    </i>
    <i t="grand">
      <x/>
    </i>
  </rowItems>
  <colItems count="1">
    <i/>
  </colItems>
  <dataFields count="1">
    <dataField name="Average of Ratingd" fld="7" subtotal="average"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84C341-66A4-4470-865D-1DD9869624F2}" name="PivotTable5" cacheId="1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A3:B10" firstHeaderRow="1" firstDataRow="1" firstDataCol="1"/>
  <pivotFields count="9">
    <pivotField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dataField="1"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axis="axisRow" numFmtId="1" showAll="0">
      <items count="10">
        <item x="0"/>
        <item x="1"/>
        <item x="2"/>
        <item x="3"/>
        <item x="4"/>
        <item x="5"/>
        <item x="6"/>
        <item x="7"/>
        <item x="8"/>
        <item t="default"/>
      </items>
    </pivotField>
    <pivotField showAll="0"/>
    <pivotField showAll="0">
      <items count="4">
        <item x="1"/>
        <item x="0"/>
        <item x="2"/>
        <item t="default"/>
      </items>
    </pivotField>
  </pivotFields>
  <rowFields count="1">
    <field x="6"/>
  </rowFields>
  <rowItems count="7">
    <i>
      <x v="2"/>
    </i>
    <i>
      <x v="3"/>
    </i>
    <i>
      <x v="4"/>
    </i>
    <i>
      <x v="5"/>
    </i>
    <i>
      <x v="6"/>
    </i>
    <i>
      <x v="7"/>
    </i>
    <i t="grand">
      <x/>
    </i>
  </rowItems>
  <colItems count="1">
    <i/>
  </colItems>
  <dataFields count="1">
    <dataField name="Average of Discount" fld="4" subtotal="average" baseField="6" baseItem="1" numFmtId="9"/>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A03A1F-203D-4532-9C26-D102DCE50BB4}" name="PivotTable6" cacheId="1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10" firstHeaderRow="1" firstDataRow="1" firstDataCol="1"/>
  <pivotFields count="9">
    <pivotField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numFmtId="9" showAll="0"/>
    <pivotField showAll="0"/>
    <pivotField axis="axisRow" numFmtId="1" showAll="0">
      <items count="10">
        <item x="0"/>
        <item x="1"/>
        <item x="2"/>
        <item x="3"/>
        <item x="4"/>
        <item x="5"/>
        <item x="6"/>
        <item x="7"/>
        <item x="8"/>
        <item t="default"/>
      </items>
    </pivotField>
    <pivotField dataField="1" showAll="0">
      <items count="25">
        <item x="13"/>
        <item x="23"/>
        <item x="16"/>
        <item x="20"/>
        <item x="21"/>
        <item x="14"/>
        <item x="22"/>
        <item x="18"/>
        <item x="17"/>
        <item x="19"/>
        <item x="15"/>
        <item x="9"/>
        <item x="6"/>
        <item x="5"/>
        <item x="1"/>
        <item x="7"/>
        <item x="12"/>
        <item x="11"/>
        <item x="0"/>
        <item x="2"/>
        <item x="3"/>
        <item x="4"/>
        <item x="8"/>
        <item x="10"/>
        <item t="default"/>
      </items>
    </pivotField>
    <pivotField showAll="0">
      <items count="4">
        <item x="1"/>
        <item x="0"/>
        <item x="2"/>
        <item t="default"/>
      </items>
    </pivotField>
  </pivotFields>
  <rowFields count="1">
    <field x="6"/>
  </rowFields>
  <rowItems count="7">
    <i>
      <x v="2"/>
    </i>
    <i>
      <x v="3"/>
    </i>
    <i>
      <x v="4"/>
    </i>
    <i>
      <x v="5"/>
    </i>
    <i>
      <x v="6"/>
    </i>
    <i>
      <x v="7"/>
    </i>
    <i t="grand">
      <x/>
    </i>
  </rowItems>
  <colItems count="1">
    <i/>
  </colItems>
  <dataFields count="1">
    <dataField name="Count of Ratingd" fld="7" subtotal="count"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10ED97-2BEB-40B4-A4A5-7A4F3D3B5BE3}" name="PivotTable7" cacheId="1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18" firstHeaderRow="1" firstDataRow="1" firstDataCol="1"/>
  <pivotFields count="9">
    <pivotField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numFmtId="9" showAll="0"/>
    <pivotField showAll="0"/>
    <pivotField axis="axisRow" numFmtId="1" showAll="0">
      <items count="10">
        <item x="0"/>
        <item x="1"/>
        <item x="2"/>
        <item x="3"/>
        <item x="4"/>
        <item x="5"/>
        <item x="6"/>
        <item x="7"/>
        <item x="8"/>
        <item t="default"/>
      </items>
    </pivotField>
    <pivotField dataField="1" showAll="0">
      <items count="25">
        <item x="13"/>
        <item x="23"/>
        <item x="16"/>
        <item x="20"/>
        <item x="21"/>
        <item x="14"/>
        <item x="22"/>
        <item x="18"/>
        <item x="17"/>
        <item x="19"/>
        <item x="15"/>
        <item x="9"/>
        <item x="6"/>
        <item x="5"/>
        <item x="1"/>
        <item x="7"/>
        <item x="12"/>
        <item x="11"/>
        <item x="0"/>
        <item x="2"/>
        <item x="3"/>
        <item x="4"/>
        <item x="8"/>
        <item x="10"/>
        <item t="default"/>
      </items>
    </pivotField>
    <pivotField axis="axisRow" showAll="0">
      <items count="4">
        <item x="1"/>
        <item x="0"/>
        <item x="2"/>
        <item t="default"/>
      </items>
    </pivotField>
  </pivotFields>
  <rowFields count="2">
    <field x="6"/>
    <field x="8"/>
  </rowFields>
  <rowItems count="15">
    <i>
      <x v="2"/>
    </i>
    <i r="1">
      <x/>
    </i>
    <i r="1">
      <x v="2"/>
    </i>
    <i>
      <x v="3"/>
    </i>
    <i r="1">
      <x v="1"/>
    </i>
    <i>
      <x v="4"/>
    </i>
    <i r="1">
      <x/>
    </i>
    <i r="1">
      <x v="1"/>
    </i>
    <i>
      <x v="5"/>
    </i>
    <i r="1">
      <x v="1"/>
    </i>
    <i>
      <x v="6"/>
    </i>
    <i r="1">
      <x v="1"/>
    </i>
    <i>
      <x v="7"/>
    </i>
    <i r="1">
      <x v="2"/>
    </i>
    <i t="grand">
      <x/>
    </i>
  </rowItems>
  <colItems count="1">
    <i/>
  </colItems>
  <dataFields count="1">
    <dataField name="Count of Ratingd" fld="7" subtotal="count"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374961-8D0C-455E-862B-702B68C2F961}" name="PivotTable2" cacheId="1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A3:B14" firstHeaderRow="1" firstDataRow="1" firstDataCol="1"/>
  <pivotFields count="9">
    <pivotField axis="axisRow"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dataField="1"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numFmtId="1" showAll="0">
      <items count="10">
        <item x="0"/>
        <item x="1"/>
        <item x="2"/>
        <item x="3"/>
        <item x="4"/>
        <item x="5"/>
        <item x="6"/>
        <item x="7"/>
        <item x="8"/>
        <item t="default"/>
      </items>
    </pivotField>
    <pivotField showAll="0"/>
    <pivotField showAll="0">
      <items count="4">
        <item x="1"/>
        <item x="0"/>
        <item x="2"/>
        <item t="default"/>
      </items>
    </pivotField>
  </pivotFields>
  <rowFields count="1">
    <field x="0"/>
  </rowFields>
  <rowItems count="11">
    <i>
      <x v="1"/>
    </i>
    <i>
      <x v="5"/>
    </i>
    <i>
      <x v="8"/>
    </i>
    <i>
      <x v="11"/>
    </i>
    <i>
      <x v="18"/>
    </i>
    <i>
      <x v="59"/>
    </i>
    <i>
      <x v="64"/>
    </i>
    <i>
      <x v="91"/>
    </i>
    <i>
      <x v="95"/>
    </i>
    <i>
      <x v="101"/>
    </i>
    <i t="grand">
      <x/>
    </i>
  </rowItems>
  <colItems count="1">
    <i/>
  </colItems>
  <dataFields count="1">
    <dataField name="Max of Discount" fld="4" subtotal="max" baseField="0" baseItem="2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011792-93F0-4C6E-9474-1E9AF1F49994}" name="PivotTable4" cacheId="1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A3:B14" firstHeaderRow="1" firstDataRow="1" firstDataCol="1"/>
  <pivotFields count="9">
    <pivotField axis="axisRow"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numFmtId="9" showAll="0"/>
    <pivotField showAll="0"/>
    <pivotField dataField="1" numFmtId="1" showAll="0">
      <items count="10">
        <item x="0"/>
        <item x="1"/>
        <item x="2"/>
        <item x="3"/>
        <item x="4"/>
        <item x="5"/>
        <item x="6"/>
        <item x="7"/>
        <item x="8"/>
        <item t="default"/>
      </items>
    </pivotField>
    <pivotField showAll="0"/>
    <pivotField showAll="0">
      <items count="4">
        <item x="1"/>
        <item x="0"/>
        <item x="2"/>
        <item t="default"/>
      </items>
    </pivotField>
  </pivotFields>
  <rowFields count="1">
    <field x="0"/>
  </rowFields>
  <rowItems count="11">
    <i>
      <x v="1"/>
    </i>
    <i>
      <x v="5"/>
    </i>
    <i>
      <x v="8"/>
    </i>
    <i>
      <x v="11"/>
    </i>
    <i>
      <x v="18"/>
    </i>
    <i>
      <x v="59"/>
    </i>
    <i>
      <x v="64"/>
    </i>
    <i>
      <x v="91"/>
    </i>
    <i>
      <x v="95"/>
    </i>
    <i>
      <x v="101"/>
    </i>
    <i t="grand">
      <x/>
    </i>
  </rowItems>
  <colItems count="1">
    <i/>
  </colItems>
  <dataFields count="1">
    <dataField name="Max of Review" fld="6" subtotal="max" baseField="0" baseItem="2"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4C50F6-8AF1-447E-8957-312C156E05C7}" name="PivotTable5" cacheId="1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A3:B14" firstHeaderRow="1" firstDataRow="1" firstDataCol="1"/>
  <pivotFields count="9">
    <pivotField axis="axisRow" showAll="0">
      <items count="110">
        <item h="1" x="70"/>
        <item h="1" x="3"/>
        <item h="1" x="69"/>
        <item h="1" x="85"/>
        <item h="1" x="107"/>
        <item h="1" x="92"/>
        <item h="1" x="87"/>
        <item x="63"/>
        <item h="1" x="105"/>
        <item h="1" x="54"/>
        <item h="1" x="104"/>
        <item h="1" x="43"/>
        <item h="1" x="89"/>
        <item x="37"/>
        <item h="1" x="88"/>
        <item h="1" x="26"/>
        <item h="1" x="93"/>
        <item x="2"/>
        <item h="1" x="4"/>
        <item h="1" x="51"/>
        <item h="1" x="50"/>
        <item h="1" x="16"/>
        <item h="1" x="84"/>
        <item h="1" x="82"/>
        <item h="1" x="59"/>
        <item h="1" x="52"/>
        <item h="1" x="29"/>
        <item h="1" x="86"/>
        <item h="1" x="14"/>
        <item h="1" x="41"/>
        <item h="1" x="95"/>
        <item h="1" x="1"/>
        <item h="1" x="77"/>
        <item h="1" x="18"/>
        <item h="1" x="102"/>
        <item h="1" x="22"/>
        <item h="1" x="32"/>
        <item h="1" x="39"/>
        <item h="1" x="8"/>
        <item h="1" x="13"/>
        <item h="1" x="17"/>
        <item h="1" x="24"/>
        <item h="1" x="68"/>
        <item h="1" x="98"/>
        <item x="62"/>
        <item h="1" x="81"/>
        <item h="1" x="10"/>
        <item h="1" x="23"/>
        <item h="1" x="30"/>
        <item x="25"/>
        <item h="1" x="72"/>
        <item h="1" x="35"/>
        <item h="1" x="7"/>
        <item h="1" x="53"/>
        <item h="1" x="75"/>
        <item h="1" x="48"/>
        <item h="1" x="36"/>
        <item h="1" x="55"/>
        <item h="1" x="44"/>
        <item h="1" x="103"/>
        <item h="1" x="83"/>
        <item h="1" x="46"/>
        <item h="1" x="49"/>
        <item h="1" x="108"/>
        <item h="1" x="78"/>
        <item h="1" x="42"/>
        <item h="1" x="96"/>
        <item h="1" x="64"/>
        <item h="1" x="15"/>
        <item h="1" x="56"/>
        <item h="1" x="67"/>
        <item h="1" x="99"/>
        <item h="1" x="97"/>
        <item h="1" x="71"/>
        <item h="1" x="76"/>
        <item h="1" x="45"/>
        <item h="1" x="90"/>
        <item h="1" x="106"/>
        <item h="1" x="60"/>
        <item h="1" x="79"/>
        <item h="1" x="33"/>
        <item h="1" x="34"/>
        <item h="1" x="28"/>
        <item h="1" x="58"/>
        <item h="1" x="21"/>
        <item h="1" x="40"/>
        <item h="1" x="12"/>
        <item h="1" x="94"/>
        <item h="1" x="20"/>
        <item h="1" x="74"/>
        <item x="19"/>
        <item h="1" x="65"/>
        <item h="1" x="66"/>
        <item h="1" x="73"/>
        <item h="1" x="47"/>
        <item h="1" x="91"/>
        <item h="1" x="100"/>
        <item x="5"/>
        <item h="1" x="80"/>
        <item h="1" x="101"/>
        <item x="6"/>
        <item h="1" x="9"/>
        <item h="1" x="57"/>
        <item x="61"/>
        <item h="1" x="31"/>
        <item h="1" x="27"/>
        <item h="1" x="0"/>
        <item x="11"/>
        <item h="1" x="38"/>
        <item t="default"/>
      </items>
    </pivotField>
    <pivotField numFmtId="1" showAll="0"/>
    <pivotField numFmtId="1" showAll="0"/>
    <pivotField numFmtId="1" showAll="0"/>
    <pivotField numFmtId="9" showAll="0"/>
    <pivotField showAll="0"/>
    <pivotField numFmtId="1" showAll="0">
      <items count="10">
        <item x="0"/>
        <item x="1"/>
        <item x="2"/>
        <item x="3"/>
        <item x="4"/>
        <item x="5"/>
        <item x="6"/>
        <item x="7"/>
        <item x="8"/>
        <item t="default"/>
      </items>
    </pivotField>
    <pivotField dataField="1" showAll="0"/>
    <pivotField showAll="0">
      <items count="4">
        <item x="1"/>
        <item x="0"/>
        <item x="2"/>
        <item t="default"/>
      </items>
    </pivotField>
  </pivotFields>
  <rowFields count="1">
    <field x="0"/>
  </rowFields>
  <rowItems count="11">
    <i>
      <x v="7"/>
    </i>
    <i>
      <x v="13"/>
    </i>
    <i>
      <x v="17"/>
    </i>
    <i>
      <x v="44"/>
    </i>
    <i>
      <x v="49"/>
    </i>
    <i>
      <x v="90"/>
    </i>
    <i>
      <x v="97"/>
    </i>
    <i>
      <x v="100"/>
    </i>
    <i>
      <x v="103"/>
    </i>
    <i>
      <x v="107"/>
    </i>
    <i t="grand">
      <x/>
    </i>
  </rowItems>
  <colItems count="1">
    <i/>
  </colItems>
  <dataFields count="1">
    <dataField name="Sum of Ratingd"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A8FD17-38DD-443A-B92E-F483801F6008}" name="PivotTable6" cacheId="1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14" firstHeaderRow="1" firstDataRow="1" firstDataCol="1"/>
  <pivotFields count="9">
    <pivotField axis="axisRow"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numFmtId="9" showAll="0"/>
    <pivotField showAll="0"/>
    <pivotField numFmtId="1" showAll="0">
      <items count="10">
        <item x="0"/>
        <item x="1"/>
        <item x="2"/>
        <item x="3"/>
        <item x="4"/>
        <item x="5"/>
        <item x="6"/>
        <item x="7"/>
        <item x="8"/>
        <item t="default"/>
      </items>
    </pivotField>
    <pivotField dataField="1" showAll="0"/>
    <pivotField showAll="0">
      <items count="4">
        <item x="1"/>
        <item x="0"/>
        <item x="2"/>
        <item t="default"/>
      </items>
    </pivotField>
  </pivotFields>
  <rowFields count="1">
    <field x="0"/>
  </rowFields>
  <rowItems count="11">
    <i>
      <x v="1"/>
    </i>
    <i>
      <x v="5"/>
    </i>
    <i>
      <x v="8"/>
    </i>
    <i>
      <x v="11"/>
    </i>
    <i>
      <x v="18"/>
    </i>
    <i>
      <x v="59"/>
    </i>
    <i>
      <x v="64"/>
    </i>
    <i>
      <x v="91"/>
    </i>
    <i>
      <x v="95"/>
    </i>
    <i>
      <x v="101"/>
    </i>
    <i t="grand">
      <x/>
    </i>
  </rowItems>
  <colItems count="1">
    <i/>
  </colItems>
  <dataFields count="1">
    <dataField name="Sum of Rating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ECD9D3-9C6B-4287-9EA0-19A21F235416}" name="PivotTable7" cacheId="1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C7" firstHeaderRow="0" firstDataRow="1" firstDataCol="1"/>
  <pivotFields count="9">
    <pivotField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axis="axisRow" showAll="0">
      <items count="4">
        <item x="1"/>
        <item x="2"/>
        <item x="0"/>
        <item t="default"/>
      </items>
    </pivotField>
    <pivotField dataField="1" numFmtId="1" showAll="0">
      <items count="10">
        <item x="0"/>
        <item x="1"/>
        <item x="2"/>
        <item x="3"/>
        <item x="4"/>
        <item x="5"/>
        <item x="6"/>
        <item x="7"/>
        <item x="8"/>
        <item t="default"/>
      </items>
    </pivotField>
    <pivotField dataField="1" showAll="0">
      <items count="25">
        <item x="13"/>
        <item x="23"/>
        <item x="16"/>
        <item x="20"/>
        <item x="21"/>
        <item x="14"/>
        <item x="22"/>
        <item x="18"/>
        <item x="17"/>
        <item x="19"/>
        <item x="15"/>
        <item x="9"/>
        <item x="6"/>
        <item x="5"/>
        <item x="1"/>
        <item x="7"/>
        <item x="12"/>
        <item x="11"/>
        <item x="0"/>
        <item x="2"/>
        <item x="3"/>
        <item x="4"/>
        <item x="8"/>
        <item h="1" x="10"/>
        <item t="default"/>
      </items>
    </pivotField>
    <pivotField showAll="0">
      <items count="4">
        <item x="1"/>
        <item x="0"/>
        <item x="2"/>
        <item t="default"/>
      </items>
    </pivotField>
  </pivotFields>
  <rowFields count="1">
    <field x="5"/>
  </rowFields>
  <rowItems count="4">
    <i>
      <x/>
    </i>
    <i>
      <x v="1"/>
    </i>
    <i>
      <x v="2"/>
    </i>
    <i t="grand">
      <x/>
    </i>
  </rowItems>
  <colFields count="1">
    <field x="-2"/>
  </colFields>
  <colItems count="2">
    <i>
      <x/>
    </i>
    <i i="1">
      <x v="1"/>
    </i>
  </colItems>
  <dataFields count="2">
    <dataField name="Average of Ratingd" fld="7" subtotal="average" baseField="5" baseItem="0"/>
    <dataField name="Sum of Review" fld="6" baseField="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7F1C60-064C-4603-B812-2DFC3F4102BF}"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9">
    <pivotField dataField="1"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numFmtId="9" showAll="0"/>
    <pivotField showAll="0"/>
    <pivotField numFmtId="1" showAll="0">
      <items count="10">
        <item x="0"/>
        <item x="1"/>
        <item x="2"/>
        <item x="3"/>
        <item x="4"/>
        <item x="5"/>
        <item x="6"/>
        <item x="7"/>
        <item x="8"/>
        <item t="default"/>
      </items>
    </pivotField>
    <pivotField showAll="0"/>
    <pivotField axis="axisRow" showAll="0">
      <items count="4">
        <item x="1"/>
        <item x="0"/>
        <item x="2"/>
        <item t="default"/>
      </items>
    </pivotField>
  </pivotFields>
  <rowFields count="1">
    <field x="8"/>
  </rowFields>
  <rowItems count="4">
    <i>
      <x/>
    </i>
    <i>
      <x v="1"/>
    </i>
    <i>
      <x v="2"/>
    </i>
    <i t="grand">
      <x/>
    </i>
  </rowItems>
  <colItems count="1">
    <i/>
  </colItems>
  <dataFields count="1">
    <dataField name="Count of Product"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8BB3D5-F940-461F-BD90-CDDF45524BEA}"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7" firstHeaderRow="1" firstDataRow="1" firstDataCol="1"/>
  <pivotFields count="9">
    <pivotField dataField="1" showAll="0"/>
    <pivotField numFmtId="1" showAll="0">
      <items count="100">
        <item h="1" x="19"/>
        <item h="1" x="82"/>
        <item h="1" x="98"/>
        <item x="35"/>
        <item h="1" x="29"/>
        <item h="1" x="16"/>
        <item h="1" x="93"/>
        <item h="1" x="46"/>
        <item h="1" x="70"/>
        <item h="1" x="39"/>
        <item h="1" x="86"/>
        <item h="1" x="77"/>
        <item h="1" x="47"/>
        <item h="1" x="57"/>
        <item h="1" x="75"/>
        <item h="1" x="15"/>
        <item h="1" x="63"/>
        <item h="1" x="61"/>
        <item h="1" x="36"/>
        <item h="1" x="24"/>
        <item h="1" x="56"/>
        <item h="1" x="97"/>
        <item h="1" x="54"/>
        <item h="1" x="38"/>
        <item h="1" x="50"/>
        <item h="1" x="13"/>
        <item h="1" x="64"/>
        <item h="1" x="88"/>
        <item h="1" x="1"/>
        <item h="1" x="12"/>
        <item h="1" x="40"/>
        <item h="1" x="79"/>
        <item h="1" x="44"/>
        <item h="1" x="68"/>
        <item h="1" x="51"/>
        <item h="1" x="67"/>
        <item h="1" x="10"/>
        <item h="1" x="80"/>
        <item h="1" x="21"/>
        <item h="1" x="83"/>
        <item h="1" x="0"/>
        <item h="1" x="65"/>
        <item h="1" x="72"/>
        <item h="1" x="30"/>
        <item h="1" x="7"/>
        <item h="1" x="11"/>
        <item h="1" x="18"/>
        <item h="1" x="42"/>
        <item h="1" x="59"/>
        <item h="1" x="89"/>
        <item h="1" x="94"/>
        <item h="1" x="71"/>
        <item h="1" x="43"/>
        <item h="1" x="45"/>
        <item h="1" x="58"/>
        <item h="1" x="8"/>
        <item h="1" x="81"/>
        <item h="1" x="26"/>
        <item h="1" x="91"/>
        <item h="1" x="49"/>
        <item h="1" x="73"/>
        <item h="1" x="85"/>
        <item h="1" x="76"/>
        <item h="1" x="78"/>
        <item h="1" x="84"/>
        <item h="1" x="66"/>
        <item h="1" x="3"/>
        <item h="1" x="9"/>
        <item h="1" x="34"/>
        <item h="1" x="22"/>
        <item h="1" x="95"/>
        <item h="1" x="48"/>
        <item h="1" x="74"/>
        <item h="1" x="14"/>
        <item h="1" x="69"/>
        <item h="1" x="4"/>
        <item h="1" x="27"/>
        <item h="1" x="96"/>
        <item h="1" x="31"/>
        <item h="1" x="20"/>
        <item h="1" x="92"/>
        <item h="1" x="32"/>
        <item h="1" x="33"/>
        <item h="1" x="17"/>
        <item h="1" x="23"/>
        <item h="1" x="55"/>
        <item h="1" x="41"/>
        <item h="1" x="53"/>
        <item h="1" x="2"/>
        <item h="1" x="28"/>
        <item h="1" x="62"/>
        <item h="1" x="6"/>
        <item h="1" x="37"/>
        <item h="1" x="52"/>
        <item h="1" x="25"/>
        <item h="1" x="5"/>
        <item h="1" x="87"/>
        <item h="1" x="90"/>
        <item h="1" x="60"/>
        <item t="default"/>
      </items>
    </pivotField>
    <pivotField numFmtId="1" showAll="0"/>
    <pivotField numFmtId="1" showAll="0"/>
    <pivotField numFmtId="9" showAll="0"/>
    <pivotField axis="axisRow" showAll="0">
      <items count="4">
        <item x="1"/>
        <item x="2"/>
        <item x="0"/>
        <item t="default"/>
      </items>
    </pivotField>
    <pivotField numFmtId="1" showAll="0">
      <items count="10">
        <item x="0"/>
        <item x="1"/>
        <item x="2"/>
        <item x="3"/>
        <item x="4"/>
        <item x="5"/>
        <item x="6"/>
        <item x="7"/>
        <item x="8"/>
        <item t="default"/>
      </items>
    </pivotField>
    <pivotField showAll="0"/>
    <pivotField showAll="0">
      <items count="4">
        <item x="1"/>
        <item x="0"/>
        <item x="2"/>
        <item t="default"/>
      </items>
    </pivotField>
  </pivotFields>
  <rowFields count="1">
    <field x="5"/>
  </rowFields>
  <rowItems count="4">
    <i>
      <x/>
    </i>
    <i>
      <x v="1"/>
    </i>
    <i>
      <x v="2"/>
    </i>
    <i t="grand">
      <x/>
    </i>
  </rowItems>
  <colItems count="1">
    <i/>
  </colItems>
  <dataFields count="1">
    <dataField name="Count of Product" fld="0" subtotal="count" baseField="0" baseItem="0"/>
  </dataFields>
  <chartFormats count="2">
    <chartFormat chart="9"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C0C239E-EE6D-4C6F-B966-2A70DBFFEF4B}" name="PivotTable3"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9">
  <location ref="A3:C7" firstHeaderRow="0" firstDataRow="1" firstDataCol="1"/>
  <pivotFields count="9">
    <pivotField showAll="0"/>
    <pivotField numFmtId="1" showAll="0"/>
    <pivotField numFmtId="1" showAll="0"/>
    <pivotField numFmtId="1" showAll="0"/>
    <pivotField numFmtId="9" showAll="0"/>
    <pivotField axis="axisRow" showAll="0">
      <items count="4">
        <item x="1"/>
        <item x="2"/>
        <item x="0"/>
        <item t="default"/>
      </items>
    </pivotField>
    <pivotField dataField="1" numFmtId="1" showAll="0">
      <items count="10">
        <item x="0"/>
        <item x="1"/>
        <item x="2"/>
        <item x="3"/>
        <item x="4"/>
        <item x="5"/>
        <item x="6"/>
        <item x="7"/>
        <item x="8"/>
        <item t="default"/>
      </items>
    </pivotField>
    <pivotField dataField="1" showAll="0"/>
    <pivotField showAll="0">
      <items count="4">
        <item x="1"/>
        <item x="0"/>
        <item x="2"/>
        <item t="default"/>
      </items>
    </pivotField>
  </pivotFields>
  <rowFields count="1">
    <field x="5"/>
  </rowFields>
  <rowItems count="4">
    <i>
      <x/>
    </i>
    <i>
      <x v="1"/>
    </i>
    <i>
      <x v="2"/>
    </i>
    <i t="grand">
      <x/>
    </i>
  </rowItems>
  <colFields count="1">
    <field x="-2"/>
  </colFields>
  <colItems count="2">
    <i>
      <x/>
    </i>
    <i i="1">
      <x v="1"/>
    </i>
  </colItems>
  <dataFields count="2">
    <dataField name="Average of Rating" fld="7" subtotal="average" baseField="5" baseItem="0"/>
    <dataField name="Average of Review" fld="6" subtotal="average" baseField="5" baseItem="0"/>
  </dataFields>
  <chartFormats count="4">
    <chartFormat chart="46"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1"/>
          </reference>
        </references>
      </pivotArea>
    </chartFormat>
    <chartFormat chart="48" format="5"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D290C5B-77F7-4046-8CF3-34CC6E58133C}" name="PivotTable18"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3">
  <location ref="A3:B6" firstHeaderRow="1" firstDataRow="1" firstDataCol="1"/>
  <pivotFields count="9">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s>
  <rowFields count="1">
    <field x="8"/>
  </rowFields>
  <rowItems count="3">
    <i>
      <x/>
    </i>
    <i>
      <x v="1"/>
    </i>
    <i>
      <x v="2"/>
    </i>
  </rowItems>
  <colItems count="1">
    <i/>
  </colItems>
  <dataFields count="1">
    <dataField name="Average of Discount" fld="4" subtotal="average"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BFE2790-63D1-4141-9227-7E47DC100B45}" name="PivotTable19"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50"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axis="axisRow"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4">
        <item x="1"/>
        <item x="2"/>
        <item x="0"/>
        <item t="default"/>
      </items>
    </pivotField>
    <pivotField dataField="1" numFmtId="1" showAll="0">
      <items count="10">
        <item x="0"/>
        <item x="1"/>
        <item x="2"/>
        <item x="3"/>
        <item x="4"/>
        <item x="5"/>
        <item x="6"/>
        <item x="7"/>
        <item x="8"/>
        <item t="default"/>
      </items>
    </pivotField>
    <pivotField showAll="0">
      <items count="25">
        <item x="13"/>
        <item x="23"/>
        <item x="16"/>
        <item x="20"/>
        <item x="21"/>
        <item x="14"/>
        <item x="22"/>
        <item x="18"/>
        <item x="17"/>
        <item x="19"/>
        <item x="15"/>
        <item x="9"/>
        <item x="6"/>
        <item x="5"/>
        <item x="1"/>
        <item x="7"/>
        <item x="12"/>
        <item x="11"/>
        <item x="0"/>
        <item x="2"/>
        <item x="3"/>
        <item x="4"/>
        <item x="8"/>
        <item x="10"/>
        <item t="default"/>
      </items>
    </pivotField>
    <pivotField showAll="0">
      <items count="4">
        <item x="1"/>
        <item x="0"/>
        <item x="2"/>
        <item t="default"/>
      </items>
    </pivotField>
  </pivotFields>
  <rowFields count="1">
    <field x="4"/>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Count of Review" fld="6" subtotal="count" baseField="0" baseItem="0"/>
  </dataFields>
  <chartFormats count="3">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4" count="1" selected="0">
            <x v="35"/>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4A2857D-C033-431D-8178-FB149B342EFE}" name="PivotTable20"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2">
  <location ref="A3:B28" firstHeaderRow="1" firstDataRow="1" firstDataCol="1"/>
  <pivotFields count="9">
    <pivotField showAll="0"/>
    <pivotField numFmtId="1" showAll="0"/>
    <pivotField numFmtId="1" showAll="0"/>
    <pivotField numFmtId="1" showAll="0"/>
    <pivotField numFmtId="9" showAll="0"/>
    <pivotField showAll="0"/>
    <pivotField dataField="1" numFmtId="1" showAll="0"/>
    <pivotField name="Rating" axis="axisRow" showAll="0">
      <items count="25">
        <item x="13"/>
        <item x="23"/>
        <item x="16"/>
        <item x="20"/>
        <item x="21"/>
        <item x="14"/>
        <item x="22"/>
        <item x="18"/>
        <item x="17"/>
        <item x="19"/>
        <item x="15"/>
        <item x="9"/>
        <item x="6"/>
        <item x="5"/>
        <item x="1"/>
        <item x="7"/>
        <item x="12"/>
        <item x="11"/>
        <item x="0"/>
        <item x="2"/>
        <item x="3"/>
        <item x="4"/>
        <item x="8"/>
        <item x="10"/>
        <item t="default"/>
      </items>
    </pivotField>
    <pivotField showAll="0"/>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view" fld="6" subtotal="count" baseField="0" baseItem="0"/>
  </dataFields>
  <chartFormats count="2">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4228C66-4D37-494F-8C51-D298F3D6D824}"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1" firstHeaderRow="1" firstDataRow="1" firstDataCol="1"/>
  <pivotFields count="9">
    <pivotField showAll="0"/>
    <pivotField numFmtId="1" showAll="0"/>
    <pivotField numFmtId="1" showAll="0"/>
    <pivotField numFmtId="1" showAll="0"/>
    <pivotField numFmtId="9" showAll="0"/>
    <pivotField showAll="0"/>
    <pivotField axis="axisRow" numFmtId="1" showAll="0">
      <items count="10">
        <item x="0"/>
        <item x="1"/>
        <item x="2"/>
        <item x="3"/>
        <item x="4"/>
        <item x="5"/>
        <item x="6"/>
        <item x="7"/>
        <item x="8"/>
        <item t="default"/>
      </items>
    </pivotField>
    <pivotField dataField="1" showAll="0"/>
    <pivotField showAll="0"/>
  </pivotFields>
  <rowFields count="1">
    <field x="6"/>
  </rowFields>
  <rowItems count="8">
    <i>
      <x v="1"/>
    </i>
    <i>
      <x v="2"/>
    </i>
    <i>
      <x v="3"/>
    </i>
    <i>
      <x v="4"/>
    </i>
    <i>
      <x v="5"/>
    </i>
    <i>
      <x v="6"/>
    </i>
    <i>
      <x v="7"/>
    </i>
    <i t="grand">
      <x/>
    </i>
  </rowItems>
  <colItems count="1">
    <i/>
  </colItems>
  <dataFields count="1">
    <dataField name="Average of Ratingd" fld="7" subtotal="average" baseField="6" baseItem="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AFEB9C8-EC71-4919-93FF-F2DC25CB26A2}"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11" firstHeaderRow="1" firstDataRow="1" firstDataCol="1"/>
  <pivotFields count="9">
    <pivotField showAll="0"/>
    <pivotField numFmtId="1" showAll="0"/>
    <pivotField numFmtId="1" showAll="0"/>
    <pivotField numFmtId="1" showAll="0"/>
    <pivotField dataField="1" numFmtId="9" showAll="0"/>
    <pivotField showAll="0"/>
    <pivotField axis="axisRow" numFmtId="1" showAll="0">
      <items count="10">
        <item x="0"/>
        <item x="1"/>
        <item x="2"/>
        <item x="3"/>
        <item x="4"/>
        <item x="5"/>
        <item x="6"/>
        <item x="7"/>
        <item x="8"/>
        <item t="default"/>
      </items>
    </pivotField>
    <pivotField showAll="0"/>
    <pivotField showAll="0"/>
  </pivotFields>
  <rowFields count="1">
    <field x="6"/>
  </rowFields>
  <rowItems count="8">
    <i>
      <x v="1"/>
    </i>
    <i>
      <x v="2"/>
    </i>
    <i>
      <x v="3"/>
    </i>
    <i>
      <x v="4"/>
    </i>
    <i>
      <x v="5"/>
    </i>
    <i>
      <x v="6"/>
    </i>
    <i>
      <x v="7"/>
    </i>
    <i t="grand">
      <x/>
    </i>
  </rowItems>
  <colItems count="1">
    <i/>
  </colItems>
  <dataFields count="1">
    <dataField name="Average of Discount" fld="4" subtotal="average" baseField="6" baseItem="1"/>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38D6C81-6EA4-470C-A00E-C49245700C32}" name="PivotTable3"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4" firstHeaderRow="1" firstDataRow="1" firstDataCol="1"/>
  <pivotFields count="9">
    <pivotField axis="axisRow" showAll="0">
      <items count="110">
        <item x="38"/>
        <item x="11"/>
        <item x="0"/>
        <item x="27"/>
        <item x="31"/>
        <item x="61"/>
        <item x="57"/>
        <item x="9"/>
        <item x="6"/>
        <item x="101"/>
        <item h="1" x="80"/>
        <item h="1" x="5"/>
        <item h="1" x="100"/>
        <item h="1" x="91"/>
        <item h="1" x="47"/>
        <item h="1" x="73"/>
        <item h="1" x="66"/>
        <item h="1" x="65"/>
        <item h="1"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h="1" x="25"/>
        <item h="1" x="30"/>
        <item h="1" x="23"/>
        <item h="1" x="10"/>
        <item h="1" x="81"/>
        <item h="1"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h="1" x="2"/>
        <item h="1" x="93"/>
        <item h="1" x="26"/>
        <item h="1" x="88"/>
        <item h="1" x="37"/>
        <item h="1" x="89"/>
        <item h="1" x="43"/>
        <item h="1" x="104"/>
        <item h="1" x="54"/>
        <item h="1" x="105"/>
        <item h="1" x="63"/>
        <item h="1" x="87"/>
        <item h="1" x="92"/>
        <item h="1" x="107"/>
        <item h="1" x="85"/>
        <item h="1" x="69"/>
        <item h="1" x="3"/>
        <item h="1" x="70"/>
        <item t="default"/>
      </items>
    </pivotField>
    <pivotField numFmtId="1" showAll="0"/>
    <pivotField numFmtId="1" showAll="0"/>
    <pivotField numFmtId="1" showAll="0"/>
    <pivotField dataField="1" numFmtId="9" showAll="0"/>
    <pivotField showAll="0"/>
    <pivotField numFmtId="1"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Max of Discount" fld="4" subtotal="max"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7AC2146-EDEF-4E44-9740-B9D7F960B2D3}" name="PivotTable4"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4" firstHeaderRow="1" firstDataRow="1" firstDataCol="1"/>
  <pivotFields count="9">
    <pivotField axis="axisRow" showAll="0">
      <items count="110">
        <item h="1" x="38"/>
        <item x="11"/>
        <item h="1" x="0"/>
        <item h="1" x="27"/>
        <item h="1" x="31"/>
        <item x="61"/>
        <item h="1" x="57"/>
        <item h="1" x="9"/>
        <item x="6"/>
        <item h="1" x="101"/>
        <item h="1" x="80"/>
        <item x="5"/>
        <item h="1" x="100"/>
        <item h="1" x="91"/>
        <item h="1" x="47"/>
        <item h="1" x="73"/>
        <item h="1" x="66"/>
        <item h="1" x="65"/>
        <item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x="25"/>
        <item h="1" x="30"/>
        <item h="1" x="23"/>
        <item h="1" x="10"/>
        <item h="1" x="81"/>
        <item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x="2"/>
        <item h="1" x="93"/>
        <item h="1" x="26"/>
        <item h="1" x="88"/>
        <item x="37"/>
        <item h="1" x="89"/>
        <item h="1" x="43"/>
        <item h="1" x="104"/>
        <item h="1" x="54"/>
        <item h="1" x="105"/>
        <item x="63"/>
        <item h="1" x="87"/>
        <item h="1" x="92"/>
        <item h="1" x="107"/>
        <item h="1" x="85"/>
        <item h="1" x="69"/>
        <item h="1" x="3"/>
        <item h="1" x="70"/>
        <item t="default"/>
      </items>
    </pivotField>
    <pivotField numFmtId="1" showAll="0"/>
    <pivotField numFmtId="1" showAll="0"/>
    <pivotField numFmtId="1" showAll="0"/>
    <pivotField numFmtId="9" showAll="0"/>
    <pivotField showAll="0"/>
    <pivotField dataField="1" numFmtId="1" showAll="0"/>
    <pivotField showAll="0"/>
    <pivotField showAll="0"/>
  </pivotFields>
  <rowFields count="1">
    <field x="0"/>
  </rowFields>
  <rowItems count="11">
    <i>
      <x v="1"/>
    </i>
    <i>
      <x v="5"/>
    </i>
    <i>
      <x v="8"/>
    </i>
    <i>
      <x v="11"/>
    </i>
    <i>
      <x v="18"/>
    </i>
    <i>
      <x v="59"/>
    </i>
    <i>
      <x v="64"/>
    </i>
    <i>
      <x v="91"/>
    </i>
    <i>
      <x v="95"/>
    </i>
    <i>
      <x v="101"/>
    </i>
    <i t="grand">
      <x/>
    </i>
  </rowItems>
  <colItems count="1">
    <i/>
  </colItems>
  <dataFields count="1">
    <dataField name="Max of Review" fld="6" subtotal="max"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068C2D8-F478-4A5A-BDCA-54FB464D3976}" name="PivotTable5"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9">
    <pivotField axis="axisRow" showAll="0">
      <items count="110">
        <item x="38"/>
        <item x="11"/>
        <item x="0"/>
        <item x="27"/>
        <item x="31"/>
        <item h="1" x="61"/>
        <item h="1" x="57"/>
        <item h="1" x="9"/>
        <item h="1" x="6"/>
        <item h="1" x="101"/>
        <item h="1" x="80"/>
        <item h="1" x="5"/>
        <item h="1" x="100"/>
        <item h="1" x="91"/>
        <item h="1" x="47"/>
        <item h="1" x="73"/>
        <item h="1" x="66"/>
        <item h="1" x="65"/>
        <item h="1"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h="1" x="25"/>
        <item h="1" x="30"/>
        <item h="1" x="23"/>
        <item h="1" x="10"/>
        <item h="1" x="81"/>
        <item h="1"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h="1" x="2"/>
        <item h="1" x="93"/>
        <item h="1" x="26"/>
        <item h="1" x="88"/>
        <item h="1" x="37"/>
        <item h="1" x="89"/>
        <item h="1" x="43"/>
        <item h="1" x="104"/>
        <item h="1" x="54"/>
        <item h="1" x="105"/>
        <item h="1" x="63"/>
        <item h="1" x="87"/>
        <item h="1" x="92"/>
        <item h="1" x="107"/>
        <item h="1" x="85"/>
        <item h="1" x="69"/>
        <item h="1" x="3"/>
        <item h="1" x="70"/>
        <item t="default"/>
      </items>
    </pivotField>
    <pivotField numFmtId="1" showAll="0"/>
    <pivotField numFmtId="1" showAll="0"/>
    <pivotField numFmtId="1" showAll="0"/>
    <pivotField numFmtId="9" showAll="0"/>
    <pivotField showAll="0"/>
    <pivotField numFmtId="1" showAll="0">
      <items count="10">
        <item x="0"/>
        <item x="1"/>
        <item x="2"/>
        <item x="3"/>
        <item x="4"/>
        <item x="5"/>
        <item x="6"/>
        <item x="7"/>
        <item x="8"/>
        <item t="default"/>
      </items>
    </pivotField>
    <pivotField dataField="1" showAll="0"/>
    <pivotField showAll="0"/>
  </pivotFields>
  <rowFields count="1">
    <field x="0"/>
  </rowFields>
  <rowItems count="6">
    <i>
      <x/>
    </i>
    <i>
      <x v="1"/>
    </i>
    <i>
      <x v="2"/>
    </i>
    <i>
      <x v="3"/>
    </i>
    <i>
      <x v="4"/>
    </i>
    <i t="grand">
      <x/>
    </i>
  </rowItems>
  <colItems count="1">
    <i/>
  </colItems>
  <dataFields count="1">
    <dataField name="Sum of Ratingd"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2A069FE-90A8-4CB4-A02B-41744685AA2E}" name="PivotTable6"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24" firstHeaderRow="1" firstDataRow="1" firstDataCol="1"/>
  <pivotFields count="9">
    <pivotField showAll="0"/>
    <pivotField numFmtId="1" showAll="0"/>
    <pivotField numFmtId="1" showAll="0"/>
    <pivotField numFmtId="1" showAll="0"/>
    <pivotField numFmtId="9" showAll="0"/>
    <pivotField showAll="0"/>
    <pivotField axis="axisRow" numFmtId="1" showAll="0">
      <items count="10">
        <item x="0"/>
        <item x="1"/>
        <item x="2"/>
        <item x="3"/>
        <item x="4"/>
        <item x="5"/>
        <item x="6"/>
        <item x="7"/>
        <item x="8"/>
        <item t="default"/>
      </items>
    </pivotField>
    <pivotField dataField="1" showAll="0"/>
    <pivotField axis="axisRow" showAll="0">
      <items count="4">
        <item x="1"/>
        <item x="0"/>
        <item x="2"/>
        <item t="default"/>
      </items>
    </pivotField>
  </pivotFields>
  <rowFields count="2">
    <field x="6"/>
    <field x="8"/>
  </rowFields>
  <rowItems count="21">
    <i>
      <x v="1"/>
    </i>
    <i r="1">
      <x/>
    </i>
    <i r="1">
      <x v="1"/>
    </i>
    <i r="1">
      <x v="2"/>
    </i>
    <i>
      <x v="2"/>
    </i>
    <i r="1">
      <x/>
    </i>
    <i r="1">
      <x v="1"/>
    </i>
    <i r="1">
      <x v="2"/>
    </i>
    <i>
      <x v="3"/>
    </i>
    <i r="1">
      <x/>
    </i>
    <i r="1">
      <x v="1"/>
    </i>
    <i>
      <x v="4"/>
    </i>
    <i r="1">
      <x/>
    </i>
    <i r="1">
      <x v="1"/>
    </i>
    <i>
      <x v="5"/>
    </i>
    <i r="1">
      <x v="1"/>
    </i>
    <i>
      <x v="6"/>
    </i>
    <i r="1">
      <x v="1"/>
    </i>
    <i>
      <x v="7"/>
    </i>
    <i r="1">
      <x v="2"/>
    </i>
    <i t="grand">
      <x/>
    </i>
  </rowItems>
  <colItems count="1">
    <i/>
  </colItems>
  <dataFields count="1">
    <dataField name="Sum of Rating" fld="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d" xr10:uid="{FE5F05CD-1E02-44C4-87F2-08A095D601AB}" sourceName="Ratingd">
  <pivotTables>
    <pivotTable tabId="20" name="PivotTable7"/>
  </pivotTables>
  <data>
    <tabular pivotCacheId="1278404383">
      <items count="24">
        <i x="18" s="1"/>
        <i x="17" s="1"/>
        <i x="19" s="1"/>
        <i x="5" s="1"/>
        <i x="12" s="1"/>
        <i x="2" s="1"/>
        <i x="3" s="1"/>
        <i x="13" s="1" nd="1"/>
        <i x="23" s="1" nd="1"/>
        <i x="16" s="1" nd="1"/>
        <i x="20" s="1" nd="1"/>
        <i x="21" s="1" nd="1"/>
        <i x="14" s="1" nd="1"/>
        <i x="22" s="1" nd="1"/>
        <i x="15" s="1" nd="1"/>
        <i x="9" s="1" nd="1"/>
        <i x="6" s="1" nd="1"/>
        <i x="1" s="1" nd="1"/>
        <i x="7" s="1" nd="1"/>
        <i x="11" s="1" nd="1"/>
        <i x="0" s="1" nd="1"/>
        <i x="4" s="1" nd="1"/>
        <i x="8" s="1" nd="1"/>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273F6AF5-A179-4C1F-A5C7-11E9778B35AA}" sourceName="Discount">
  <pivotTables>
    <pivotTable tabId="3" name="PivotTable1"/>
    <pivotTable tabId="20" name="PivotTable7"/>
    <pivotTable tabId="7" name="PivotTable5"/>
    <pivotTable tabId="6" name="PivotTable4"/>
    <pivotTable tabId="15" name="PivotTable2"/>
  </pivotTables>
  <data>
    <tabular pivotCacheId="1278404383">
      <items count="46">
        <i x="5" s="1"/>
        <i x="32" s="1"/>
        <i x="6" s="1"/>
        <i x="2" s="1"/>
        <i x="10" s="1"/>
        <i x="18" s="1"/>
        <i x="28" s="1"/>
        <i x="15" s="1"/>
        <i x="24" s="1"/>
        <i x="44" s="1" nd="1"/>
        <i x="30" s="1" nd="1"/>
        <i x="33" s="1" nd="1"/>
        <i x="38" s="1" nd="1"/>
        <i x="42" s="1" nd="1"/>
        <i x="41" s="1" nd="1"/>
        <i x="34" s="1" nd="1"/>
        <i x="40" s="1" nd="1"/>
        <i x="21" s="1" nd="1"/>
        <i x="16" s="1" nd="1"/>
        <i x="9" s="1" nd="1"/>
        <i x="43" s="1" nd="1"/>
        <i x="19" s="1" nd="1"/>
        <i x="4" s="1" nd="1"/>
        <i x="26" s="1" nd="1"/>
        <i x="36" s="1" nd="1"/>
        <i x="23" s="1" nd="1"/>
        <i x="22" s="1" nd="1"/>
        <i x="12" s="1" nd="1"/>
        <i x="39" s="1" nd="1"/>
        <i x="3" s="1" nd="1"/>
        <i x="0" s="1" nd="1"/>
        <i x="35" s="1" nd="1"/>
        <i x="27" s="1" nd="1"/>
        <i x="11" s="1" nd="1"/>
        <i x="37" s="1" nd="1"/>
        <i x="8" s="1" nd="1"/>
        <i x="14" s="1" nd="1"/>
        <i x="1" s="1" nd="1"/>
        <i x="25" s="1" nd="1"/>
        <i x="29" s="1" nd="1"/>
        <i x="13" s="1" nd="1"/>
        <i x="17" s="1" nd="1"/>
        <i x="20" s="1" nd="1"/>
        <i x="7" s="1" nd="1"/>
        <i x="31" s="1" nd="1"/>
        <i x="4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d1" xr10:uid="{6F83EC87-C305-450F-AE10-F0FFC2477547}" sourceName="Ratingd">
  <pivotTables>
    <pivotTable tabId="3" name="PivotTable1"/>
    <pivotTable tabId="5" name="PivotTable3"/>
    <pivotTable tabId="9" name="PivotTable7"/>
    <pivotTable tabId="6" name="PivotTable4"/>
    <pivotTable tabId="8" name="PivotTable6"/>
  </pivotTables>
  <data>
    <tabular pivotCacheId="1278404383">
      <items count="24">
        <i x="18" s="1"/>
        <i x="17" s="1"/>
        <i x="19" s="1"/>
        <i x="5" s="1"/>
        <i x="12" s="1"/>
        <i x="2" s="1"/>
        <i x="3" s="1"/>
        <i x="13" s="1" nd="1"/>
        <i x="23" s="1" nd="1"/>
        <i x="16" s="1" nd="1"/>
        <i x="20" s="1" nd="1"/>
        <i x="21" s="1" nd="1"/>
        <i x="14" s="1" nd="1"/>
        <i x="22" s="1" nd="1"/>
        <i x="15" s="1" nd="1"/>
        <i x="9" s="1" nd="1"/>
        <i x="6" s="1" nd="1"/>
        <i x="1" s="1" nd="1"/>
        <i x="7" s="1" nd="1"/>
        <i x="11" s="1" nd="1"/>
        <i x="0" s="1" nd="1"/>
        <i x="4" s="1" nd="1"/>
        <i x="8"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2" xr10:uid="{77A10729-6901-43BE-A679-01B4C153A40B}" sourceName="Review">
  <pivotTables>
    <pivotTable tabId="22" name="PivotTable1"/>
    <pivotTable tabId="17" name="PivotTable4"/>
    <pivotTable tabId="6" name="PivotTable4"/>
    <pivotTable tabId="7" name="PivotTable5"/>
    <pivotTable tabId="3" name="PivotTable1"/>
    <pivotTable tabId="5" name="PivotTable3"/>
    <pivotTable tabId="8" name="PivotTable6"/>
    <pivotTable tabId="19" name="PivotTable6"/>
    <pivotTable tabId="20" name="PivotTable7"/>
    <pivotTable tabId="9" name="PivotTable7"/>
    <pivotTable tabId="23" name="PivotTable2"/>
    <pivotTable tabId="24" name="PivotTable3"/>
    <pivotTable tabId="26" name="PivotTable19"/>
    <pivotTable tabId="18" name="PivotTable5"/>
    <pivotTable tabId="15" name="PivotTable2"/>
  </pivotTables>
  <data>
    <tabular pivotCacheId="1278404383">
      <items count="9">
        <i x="1" s="1"/>
        <i x="2" s="1"/>
        <i x="3" s="1"/>
        <i x="4" s="1"/>
        <i x="5" s="1"/>
        <i x="6" s="1"/>
        <i x="7" s="1"/>
        <i x="0" s="1" nd="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C639862F-DBC5-4094-BB2D-425EEE34AAB7}" sourceName="Rating Category">
  <pivotTables>
    <pivotTable tabId="22" name="PivotTable1"/>
    <pivotTable tabId="5" name="PivotTable3"/>
    <pivotTable tabId="3" name="PivotTable1"/>
    <pivotTable tabId="19" name="PivotTable6"/>
    <pivotTable tabId="20" name="PivotTable7"/>
    <pivotTable tabId="7" name="PivotTable5"/>
    <pivotTable tabId="9" name="PivotTable7"/>
    <pivotTable tabId="23" name="PivotTable2"/>
    <pivotTable tabId="24" name="PivotTable3"/>
    <pivotTable tabId="26" name="PivotTable19"/>
    <pivotTable tabId="6" name="PivotTable4"/>
    <pivotTable tabId="8" name="PivotTable6"/>
    <pivotTable tabId="18" name="PivotTable5"/>
    <pivotTable tabId="15" name="PivotTable2"/>
    <pivotTable tabId="17" name="PivotTable4"/>
  </pivotTables>
  <data>
    <tabular pivotCacheId="1278404383">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8FCFDDFF-BA26-42B4-BE6D-FB302FD412B2}" sourceName="Discount category">
  <pivotTables>
    <pivotTable tabId="23" name="PivotTable2"/>
  </pivotTables>
  <data>
    <tabular pivotCacheId="1278404383">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AB1FF04-342C-4FD9-B002-ADF642459023}" sourceName="Product">
  <pivotTables>
    <pivotTable tabId="32" name="PivotTable4"/>
    <pivotTable tabId="17" name="PivotTable4"/>
    <pivotTable tabId="15" name="PivotTable2"/>
    <pivotTable tabId="18" name="PivotTable5"/>
    <pivotTable tabId="8" name="PivotTable6"/>
    <pivotTable tabId="9" name="PivotTable7"/>
    <pivotTable tabId="7" name="PivotTable5"/>
    <pivotTable tabId="20" name="PivotTable7"/>
    <pivotTable tabId="19" name="PivotTable6"/>
    <pivotTable tabId="3" name="PivotTable1"/>
    <pivotTable tabId="5" name="PivotTable3"/>
    <pivotTable tabId="22" name="PivotTable1"/>
    <pivotTable tabId="6" name="PivotTable4"/>
  </pivotTables>
  <data>
    <tabular pivotCacheId="1278404383">
      <items count="109">
        <i x="38"/>
        <i x="11" s="1"/>
        <i x="0"/>
        <i x="27"/>
        <i x="31"/>
        <i x="61" s="1"/>
        <i x="57"/>
        <i x="9"/>
        <i x="6" s="1"/>
        <i x="101"/>
        <i x="80"/>
        <i x="5" s="1"/>
        <i x="100"/>
        <i x="91"/>
        <i x="47"/>
        <i x="73"/>
        <i x="66"/>
        <i x="65"/>
        <i x="19" s="1"/>
        <i x="74"/>
        <i x="20"/>
        <i x="94"/>
        <i x="12"/>
        <i x="40"/>
        <i x="21"/>
        <i x="58"/>
        <i x="28"/>
        <i x="34"/>
        <i x="33"/>
        <i x="79"/>
        <i x="60"/>
        <i x="106"/>
        <i x="90"/>
        <i x="45"/>
        <i x="76"/>
        <i x="71"/>
        <i x="97"/>
        <i x="99"/>
        <i x="67"/>
        <i x="56"/>
        <i x="15"/>
        <i x="64"/>
        <i x="96"/>
        <i x="42"/>
        <i x="78"/>
        <i x="108"/>
        <i x="49"/>
        <i x="46"/>
        <i x="83"/>
        <i x="103"/>
        <i x="44"/>
        <i x="55"/>
        <i x="36"/>
        <i x="48"/>
        <i x="75"/>
        <i x="53"/>
        <i x="7"/>
        <i x="35"/>
        <i x="72"/>
        <i x="25" s="1"/>
        <i x="30"/>
        <i x="23"/>
        <i x="10"/>
        <i x="81"/>
        <i x="62" s="1"/>
        <i x="98"/>
        <i x="68"/>
        <i x="24"/>
        <i x="17"/>
        <i x="13"/>
        <i x="8"/>
        <i x="39"/>
        <i x="32"/>
        <i x="22"/>
        <i x="102"/>
        <i x="18"/>
        <i x="77"/>
        <i x="1"/>
        <i x="95"/>
        <i x="41"/>
        <i x="14"/>
        <i x="86"/>
        <i x="29"/>
        <i x="52"/>
        <i x="59"/>
        <i x="82"/>
        <i x="84"/>
        <i x="16"/>
        <i x="50"/>
        <i x="51"/>
        <i x="4"/>
        <i x="2" s="1"/>
        <i x="93"/>
        <i x="26"/>
        <i x="88"/>
        <i x="37" s="1"/>
        <i x="89"/>
        <i x="43"/>
        <i x="104"/>
        <i x="54"/>
        <i x="105"/>
        <i x="63" s="1"/>
        <i x="87"/>
        <i x="92"/>
        <i x="107"/>
        <i x="85"/>
        <i x="69"/>
        <i x="3"/>
        <i x="7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089C4DB3-F305-4651-B28E-36024573487C}" cache="Slicer_Discount" caption="Discount" startItem="39" rowHeight="241300"/>
  <slicer name="Ratingd 2" xr10:uid="{E2BAE14C-93D0-4145-B1CF-99070D9EB85F}" cache="Slicer_Ratingd1" caption="Ratingd" startItem="17" rowHeight="241300"/>
  <slicer name="Product" xr10:uid="{FA9BA58F-C265-4540-9FA9-0418A31813C6}"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1" xr10:uid="{96A1CDB3-02A5-429D-96D0-A59012F252BB}" cache="Slicer_Review2" caption="Review"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d" xr10:uid="{FA09AB4C-8296-41D6-BCD4-08707A61CFA8}" cache="Slicer_Ratingd" caption="Ratingd" startItem="17" rowHeight="241300"/>
  <slicer name="Review" xr10:uid="{8550F019-27FC-4AA5-A36A-54DEC05E2128}" cache="Slicer_Review2" caption="Review"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2" xr10:uid="{0295187F-D6C6-4A5C-AC3E-A26E854AD594}" cache="Slicer_Review2" caption="Review" rowHeight="241300"/>
  <slicer name="Rating Category" xr10:uid="{A32DBB4D-75ED-4272-B668-A99A668D6ED5}" cache="Slicer_Rating_Category" caption="Rating Category" rowHeight="241300"/>
  <slicer name="Product 1" xr10:uid="{FA31CA20-3632-4B2F-B02D-EE89E9193178}" cache="Slicer_Product" caption="Product"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8F8A4875-8EF4-4CB1-8E04-BE2AF5F6897E}" cache="Slicer_Discount_category" caption="Discount category"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3" xr10:uid="{F1A8C119-C0F9-4DCF-A1A2-392C1D77F3D2}" cache="Slicer_Review2" caption="Review" rowHeight="241300"/>
  <slicer name="Rating Category 1" xr10:uid="{1B7EB088-B1C3-41A7-A178-3104FC548A6C}" cache="Slicer_Rating_Category" caption="Rating Category" rowHeight="241300"/>
  <slicer name="Product 2" xr10:uid="{67658FB3-C05C-4141-9CD6-DAABC645FE34}"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A2C25E-860B-42FB-8953-A591484C136A}" name="Table1" displayName="Table1" ref="A1:I110" totalsRowShown="0">
  <autoFilter ref="A1:I110" xr:uid="{C8A2C25E-860B-42FB-8953-A591484C136A}"/>
  <tableColumns count="9">
    <tableColumn id="1" xr3:uid="{4256C25D-686E-47A0-9BE2-A2EC89B60D7A}" name="Product"/>
    <tableColumn id="2" xr3:uid="{F5F626E0-6404-400A-A317-A4449C037655}" name="Current  Price" dataDxfId="6"/>
    <tableColumn id="3" xr3:uid="{2DB51681-500A-4FEB-89D3-C4A73E2A2EEA}" name="Old Price" dataDxfId="5"/>
    <tableColumn id="4" xr3:uid="{CD517B94-BB95-41A1-B8EE-361C5A959439}" name="Discount amount(Ksh)" dataDxfId="4">
      <calculatedColumnFormula>C2 - B2</calculatedColumnFormula>
    </tableColumn>
    <tableColumn id="5" xr3:uid="{20BD49A1-77C7-473D-BEF8-49D299191D85}" name="Discount" dataDxfId="3"/>
    <tableColumn id="6" xr3:uid="{770B6BE2-9C14-4F7A-A34D-B6EA9A5165B0}" name="Discount category" dataDxfId="2">
      <calculatedColumnFormula>IF(E2&gt;40%, "high", IF(E2&gt;= 20%,"medium", "low"))</calculatedColumnFormula>
    </tableColumn>
    <tableColumn id="7" xr3:uid="{823DC479-8273-418E-A91A-22099F5D73E0}" name="Review" dataDxfId="1"/>
    <tableColumn id="8" xr3:uid="{42878C37-CF9E-415E-9D57-344DBC0106E7}" name="Rating" dataDxfId="0"/>
    <tableColumn id="9" xr3:uid="{F12C76E0-A0A4-4096-B7D5-3EC4A4384DD1}" name="Rating Category">
      <calculatedColumnFormula>IF(H2 &gt;=4.5, "excellent", IF(H2 &gt;=3, "average", "poor"))</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20.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21.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2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23.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C52B2-8B0F-4F19-83BF-7FF46BAB93CE}">
  <dimension ref="A3:C7"/>
  <sheetViews>
    <sheetView workbookViewId="0">
      <selection activeCell="C4" sqref="C4"/>
    </sheetView>
  </sheetViews>
  <sheetFormatPr defaultRowHeight="15" x14ac:dyDescent="0.25"/>
  <cols>
    <col min="1" max="1" width="13.140625" bestFit="1" customWidth="1"/>
    <col min="2" max="2" width="18" style="12" bestFit="1" customWidth="1"/>
    <col min="3" max="3" width="19" bestFit="1" customWidth="1"/>
  </cols>
  <sheetData>
    <row r="3" spans="1:3" x14ac:dyDescent="0.25">
      <c r="A3" s="8" t="s">
        <v>116</v>
      </c>
      <c r="B3" s="12" t="s">
        <v>121</v>
      </c>
      <c r="C3" t="s">
        <v>122</v>
      </c>
    </row>
    <row r="4" spans="1:3" x14ac:dyDescent="0.25">
      <c r="A4" s="9" t="s">
        <v>117</v>
      </c>
      <c r="B4" s="12">
        <v>3.6</v>
      </c>
      <c r="C4" s="1">
        <v>0.47749999999999998</v>
      </c>
    </row>
    <row r="5" spans="1:3" x14ac:dyDescent="0.25">
      <c r="A5" s="9" t="s">
        <v>118</v>
      </c>
      <c r="B5" s="12">
        <v>4</v>
      </c>
      <c r="C5" s="1">
        <v>0.09</v>
      </c>
    </row>
    <row r="6" spans="1:3" x14ac:dyDescent="0.25">
      <c r="A6" s="9" t="s">
        <v>119</v>
      </c>
      <c r="B6" s="12">
        <v>4.2799999999999994</v>
      </c>
      <c r="C6" s="1">
        <v>0.28000000000000003</v>
      </c>
    </row>
    <row r="7" spans="1:3" x14ac:dyDescent="0.25">
      <c r="A7" s="9" t="s">
        <v>120</v>
      </c>
      <c r="B7" s="12">
        <v>3.9800000000000004</v>
      </c>
      <c r="C7" s="1">
        <v>0.33999999999999997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9BF83-A581-428E-9090-3F4047A1A4E6}">
  <dimension ref="A3:B7"/>
  <sheetViews>
    <sheetView workbookViewId="0">
      <selection activeCell="A5" sqref="A5"/>
    </sheetView>
  </sheetViews>
  <sheetFormatPr defaultRowHeight="15" x14ac:dyDescent="0.25"/>
  <cols>
    <col min="1" max="1" width="13.140625" bestFit="1" customWidth="1"/>
    <col min="2" max="2" width="16" bestFit="1" customWidth="1"/>
  </cols>
  <sheetData>
    <row r="3" spans="1:2" x14ac:dyDescent="0.25">
      <c r="A3" s="8" t="s">
        <v>116</v>
      </c>
      <c r="B3" t="s">
        <v>134</v>
      </c>
    </row>
    <row r="4" spans="1:2" x14ac:dyDescent="0.25">
      <c r="A4" s="9" t="s">
        <v>123</v>
      </c>
      <c r="B4" s="13">
        <v>2</v>
      </c>
    </row>
    <row r="5" spans="1:2" x14ac:dyDescent="0.25">
      <c r="A5" s="9" t="s">
        <v>124</v>
      </c>
      <c r="B5" s="13">
        <v>5</v>
      </c>
    </row>
    <row r="6" spans="1:2" x14ac:dyDescent="0.25">
      <c r="A6" s="9" t="s">
        <v>125</v>
      </c>
      <c r="B6" s="13">
        <v>3</v>
      </c>
    </row>
    <row r="7" spans="1:2" x14ac:dyDescent="0.25">
      <c r="A7" s="9" t="s">
        <v>120</v>
      </c>
      <c r="B7" s="13">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E0371-B8CF-4665-A783-F9068977BB89}">
  <dimension ref="A3:B10"/>
  <sheetViews>
    <sheetView workbookViewId="0">
      <selection activeCell="B5" sqref="B5"/>
    </sheetView>
  </sheetViews>
  <sheetFormatPr defaultRowHeight="15" x14ac:dyDescent="0.25"/>
  <cols>
    <col min="1" max="1" width="13.140625" bestFit="1" customWidth="1"/>
    <col min="2" max="2" width="18" bestFit="1" customWidth="1"/>
  </cols>
  <sheetData>
    <row r="3" spans="1:2" x14ac:dyDescent="0.25">
      <c r="A3" s="8" t="s">
        <v>116</v>
      </c>
      <c r="B3" t="s">
        <v>121</v>
      </c>
    </row>
    <row r="4" spans="1:2" x14ac:dyDescent="0.25">
      <c r="A4" s="11" t="s">
        <v>127</v>
      </c>
      <c r="B4" s="13">
        <v>3.1999999999999997</v>
      </c>
    </row>
    <row r="5" spans="1:2" x14ac:dyDescent="0.25">
      <c r="A5" s="11" t="s">
        <v>128</v>
      </c>
      <c r="B5" s="13">
        <v>4.5999999999999996</v>
      </c>
    </row>
    <row r="6" spans="1:2" x14ac:dyDescent="0.25">
      <c r="A6" s="11" t="s">
        <v>129</v>
      </c>
      <c r="B6" s="13">
        <v>4.5</v>
      </c>
    </row>
    <row r="7" spans="1:2" x14ac:dyDescent="0.25">
      <c r="A7" s="11" t="s">
        <v>130</v>
      </c>
      <c r="B7" s="13">
        <v>4.5999999999999996</v>
      </c>
    </row>
    <row r="8" spans="1:2" x14ac:dyDescent="0.25">
      <c r="A8" s="11" t="s">
        <v>131</v>
      </c>
      <c r="B8" s="13">
        <v>4.5999999999999996</v>
      </c>
    </row>
    <row r="9" spans="1:2" x14ac:dyDescent="0.25">
      <c r="A9" s="11" t="s">
        <v>132</v>
      </c>
      <c r="B9" s="13">
        <v>2.8</v>
      </c>
    </row>
    <row r="10" spans="1:2" x14ac:dyDescent="0.25">
      <c r="A10" s="11" t="s">
        <v>120</v>
      </c>
      <c r="B10" s="13">
        <v>3.9799999999999995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CBAC-3F8E-40DB-893A-9212BAB01765}">
  <dimension ref="A3:B10"/>
  <sheetViews>
    <sheetView topLeftCell="B1" workbookViewId="0">
      <selection activeCell="R5" sqref="R5"/>
    </sheetView>
  </sheetViews>
  <sheetFormatPr defaultRowHeight="15" x14ac:dyDescent="0.25"/>
  <cols>
    <col min="1" max="1" width="13.140625" bestFit="1" customWidth="1"/>
    <col min="2" max="2" width="19" bestFit="1" customWidth="1"/>
  </cols>
  <sheetData>
    <row r="3" spans="1:2" x14ac:dyDescent="0.25">
      <c r="A3" s="8" t="s">
        <v>116</v>
      </c>
      <c r="B3" t="s">
        <v>122</v>
      </c>
    </row>
    <row r="4" spans="1:2" x14ac:dyDescent="0.25">
      <c r="A4" s="11" t="s">
        <v>127</v>
      </c>
      <c r="B4" s="1">
        <v>0.27666666666666667</v>
      </c>
    </row>
    <row r="5" spans="1:2" x14ac:dyDescent="0.25">
      <c r="A5" s="11" t="s">
        <v>128</v>
      </c>
      <c r="B5" s="1">
        <v>0.25</v>
      </c>
    </row>
    <row r="6" spans="1:2" x14ac:dyDescent="0.25">
      <c r="A6" s="11" t="s">
        <v>129</v>
      </c>
      <c r="B6" s="1">
        <v>0.375</v>
      </c>
    </row>
    <row r="7" spans="1:2" x14ac:dyDescent="0.25">
      <c r="A7" s="11" t="s">
        <v>130</v>
      </c>
      <c r="B7" s="1">
        <v>0.42</v>
      </c>
    </row>
    <row r="8" spans="1:2" x14ac:dyDescent="0.25">
      <c r="A8" s="11" t="s">
        <v>131</v>
      </c>
      <c r="B8" s="1">
        <v>0.24</v>
      </c>
    </row>
    <row r="9" spans="1:2" x14ac:dyDescent="0.25">
      <c r="A9" s="11" t="s">
        <v>132</v>
      </c>
      <c r="B9" s="1">
        <v>0.49</v>
      </c>
    </row>
    <row r="10" spans="1:2" x14ac:dyDescent="0.25">
      <c r="A10" s="11" t="s">
        <v>120</v>
      </c>
      <c r="B10" s="1">
        <v>0.34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87C92-46ED-41AA-B35A-6FE2ACF6E292}">
  <dimension ref="A3:B10"/>
  <sheetViews>
    <sheetView workbookViewId="0">
      <selection activeCell="B6" sqref="B6"/>
    </sheetView>
  </sheetViews>
  <sheetFormatPr defaultRowHeight="15" x14ac:dyDescent="0.25"/>
  <cols>
    <col min="1" max="1" width="13.140625" bestFit="1" customWidth="1"/>
    <col min="2" max="2" width="15.85546875" bestFit="1" customWidth="1"/>
  </cols>
  <sheetData>
    <row r="3" spans="1:2" x14ac:dyDescent="0.25">
      <c r="A3" s="8" t="s">
        <v>116</v>
      </c>
      <c r="B3" t="s">
        <v>133</v>
      </c>
    </row>
    <row r="4" spans="1:2" x14ac:dyDescent="0.25">
      <c r="A4" s="11" t="s">
        <v>127</v>
      </c>
      <c r="B4" s="13">
        <v>3</v>
      </c>
    </row>
    <row r="5" spans="1:2" x14ac:dyDescent="0.25">
      <c r="A5" s="11" t="s">
        <v>128</v>
      </c>
      <c r="B5" s="13">
        <v>1</v>
      </c>
    </row>
    <row r="6" spans="1:2" x14ac:dyDescent="0.25">
      <c r="A6" s="11" t="s">
        <v>129</v>
      </c>
      <c r="B6" s="13">
        <v>2</v>
      </c>
    </row>
    <row r="7" spans="1:2" x14ac:dyDescent="0.25">
      <c r="A7" s="11" t="s">
        <v>130</v>
      </c>
      <c r="B7" s="13">
        <v>2</v>
      </c>
    </row>
    <row r="8" spans="1:2" x14ac:dyDescent="0.25">
      <c r="A8" s="11" t="s">
        <v>131</v>
      </c>
      <c r="B8" s="13">
        <v>1</v>
      </c>
    </row>
    <row r="9" spans="1:2" x14ac:dyDescent="0.25">
      <c r="A9" s="11" t="s">
        <v>132</v>
      </c>
      <c r="B9" s="13">
        <v>1</v>
      </c>
    </row>
    <row r="10" spans="1:2" x14ac:dyDescent="0.25">
      <c r="A10" s="11" t="s">
        <v>120</v>
      </c>
      <c r="B10" s="13">
        <v>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C918A-C6F6-4F7A-B2D9-142437396919}">
  <dimension ref="A3:B18"/>
  <sheetViews>
    <sheetView workbookViewId="0">
      <selection activeCell="F13" sqref="F13"/>
    </sheetView>
  </sheetViews>
  <sheetFormatPr defaultRowHeight="15" x14ac:dyDescent="0.25"/>
  <cols>
    <col min="1" max="1" width="13.140625" bestFit="1" customWidth="1"/>
    <col min="2" max="2" width="15.85546875" bestFit="1" customWidth="1"/>
  </cols>
  <sheetData>
    <row r="3" spans="1:2" x14ac:dyDescent="0.25">
      <c r="A3" s="8" t="s">
        <v>116</v>
      </c>
      <c r="B3" t="s">
        <v>133</v>
      </c>
    </row>
    <row r="4" spans="1:2" x14ac:dyDescent="0.25">
      <c r="A4" s="11" t="s">
        <v>127</v>
      </c>
      <c r="B4" s="13">
        <v>3</v>
      </c>
    </row>
    <row r="5" spans="1:2" x14ac:dyDescent="0.25">
      <c r="A5" s="10" t="s">
        <v>123</v>
      </c>
      <c r="B5" s="13">
        <v>1</v>
      </c>
    </row>
    <row r="6" spans="1:2" x14ac:dyDescent="0.25">
      <c r="A6" s="10" t="s">
        <v>125</v>
      </c>
      <c r="B6" s="13">
        <v>2</v>
      </c>
    </row>
    <row r="7" spans="1:2" x14ac:dyDescent="0.25">
      <c r="A7" s="11" t="s">
        <v>128</v>
      </c>
      <c r="B7" s="13">
        <v>1</v>
      </c>
    </row>
    <row r="8" spans="1:2" x14ac:dyDescent="0.25">
      <c r="A8" s="10" t="s">
        <v>124</v>
      </c>
      <c r="B8" s="13">
        <v>1</v>
      </c>
    </row>
    <row r="9" spans="1:2" x14ac:dyDescent="0.25">
      <c r="A9" s="11" t="s">
        <v>129</v>
      </c>
      <c r="B9" s="13">
        <v>2</v>
      </c>
    </row>
    <row r="10" spans="1:2" x14ac:dyDescent="0.25">
      <c r="A10" s="10" t="s">
        <v>123</v>
      </c>
      <c r="B10" s="13">
        <v>1</v>
      </c>
    </row>
    <row r="11" spans="1:2" x14ac:dyDescent="0.25">
      <c r="A11" s="10" t="s">
        <v>124</v>
      </c>
      <c r="B11" s="13">
        <v>1</v>
      </c>
    </row>
    <row r="12" spans="1:2" x14ac:dyDescent="0.25">
      <c r="A12" s="11" t="s">
        <v>130</v>
      </c>
      <c r="B12" s="13">
        <v>2</v>
      </c>
    </row>
    <row r="13" spans="1:2" x14ac:dyDescent="0.25">
      <c r="A13" s="10" t="s">
        <v>124</v>
      </c>
      <c r="B13" s="13">
        <v>2</v>
      </c>
    </row>
    <row r="14" spans="1:2" x14ac:dyDescent="0.25">
      <c r="A14" s="11" t="s">
        <v>131</v>
      </c>
      <c r="B14" s="13">
        <v>1</v>
      </c>
    </row>
    <row r="15" spans="1:2" x14ac:dyDescent="0.25">
      <c r="A15" s="10" t="s">
        <v>124</v>
      </c>
      <c r="B15" s="13">
        <v>1</v>
      </c>
    </row>
    <row r="16" spans="1:2" x14ac:dyDescent="0.25">
      <c r="A16" s="11" t="s">
        <v>132</v>
      </c>
      <c r="B16" s="13">
        <v>1</v>
      </c>
    </row>
    <row r="17" spans="1:2" x14ac:dyDescent="0.25">
      <c r="A17" s="10" t="s">
        <v>125</v>
      </c>
      <c r="B17" s="13">
        <v>1</v>
      </c>
    </row>
    <row r="18" spans="1:2" x14ac:dyDescent="0.25">
      <c r="A18" s="11" t="s">
        <v>120</v>
      </c>
      <c r="B18" s="13">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8E0CE-7636-4DDE-84CD-6367B02B853F}">
  <dimension ref="A3:B14"/>
  <sheetViews>
    <sheetView topLeftCell="B1" workbookViewId="0">
      <selection activeCell="H16" sqref="H16"/>
    </sheetView>
  </sheetViews>
  <sheetFormatPr defaultRowHeight="15" x14ac:dyDescent="0.25"/>
  <cols>
    <col min="1" max="1" width="78.140625" bestFit="1" customWidth="1"/>
    <col min="2" max="2" width="15.42578125" bestFit="1" customWidth="1"/>
  </cols>
  <sheetData>
    <row r="3" spans="1:2" x14ac:dyDescent="0.25">
      <c r="A3" s="8" t="s">
        <v>116</v>
      </c>
      <c r="B3" t="s">
        <v>135</v>
      </c>
    </row>
    <row r="4" spans="1:2" x14ac:dyDescent="0.25">
      <c r="A4" s="9" t="s">
        <v>14</v>
      </c>
      <c r="B4" s="1">
        <v>0.34</v>
      </c>
    </row>
    <row r="5" spans="1:2" x14ac:dyDescent="0.25">
      <c r="A5" s="9" t="s">
        <v>64</v>
      </c>
      <c r="B5" s="1">
        <v>0.49</v>
      </c>
    </row>
    <row r="6" spans="1:2" x14ac:dyDescent="0.25">
      <c r="A6" s="9" t="s">
        <v>9</v>
      </c>
      <c r="B6" s="1">
        <v>0.24</v>
      </c>
    </row>
    <row r="7" spans="1:2" x14ac:dyDescent="0.25">
      <c r="A7" s="9" t="s">
        <v>8</v>
      </c>
      <c r="B7" s="1">
        <v>0.09</v>
      </c>
    </row>
    <row r="8" spans="1:2" x14ac:dyDescent="0.25">
      <c r="A8" s="9" t="s">
        <v>22</v>
      </c>
      <c r="B8" s="1">
        <v>0.49</v>
      </c>
    </row>
    <row r="9" spans="1:2" x14ac:dyDescent="0.25">
      <c r="A9" s="9" t="s">
        <v>28</v>
      </c>
      <c r="B9" s="1">
        <v>0.35</v>
      </c>
    </row>
    <row r="10" spans="1:2" x14ac:dyDescent="0.25">
      <c r="A10" s="9" t="s">
        <v>65</v>
      </c>
      <c r="B10" s="1">
        <v>0.52</v>
      </c>
    </row>
    <row r="11" spans="1:2" x14ac:dyDescent="0.25">
      <c r="A11" s="9" t="s">
        <v>5</v>
      </c>
      <c r="B11" s="1">
        <v>0.25</v>
      </c>
    </row>
    <row r="12" spans="1:2" x14ac:dyDescent="0.25">
      <c r="A12" s="9" t="s">
        <v>40</v>
      </c>
      <c r="B12" s="1">
        <v>0.41</v>
      </c>
    </row>
    <row r="13" spans="1:2" x14ac:dyDescent="0.25">
      <c r="A13" s="9" t="s">
        <v>66</v>
      </c>
      <c r="B13" s="1">
        <v>0.22</v>
      </c>
    </row>
    <row r="14" spans="1:2" x14ac:dyDescent="0.25">
      <c r="A14" s="9" t="s">
        <v>120</v>
      </c>
      <c r="B14" s="1">
        <v>0.52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884AA-67A8-49A5-9508-2A9668546343}">
  <dimension ref="A3:B14"/>
  <sheetViews>
    <sheetView workbookViewId="0">
      <selection activeCell="B7" sqref="B7"/>
    </sheetView>
  </sheetViews>
  <sheetFormatPr defaultRowHeight="15" x14ac:dyDescent="0.25"/>
  <cols>
    <col min="1" max="1" width="78.140625" bestFit="1" customWidth="1"/>
    <col min="2" max="2" width="14.28515625" bestFit="1" customWidth="1"/>
  </cols>
  <sheetData>
    <row r="3" spans="1:2" x14ac:dyDescent="0.25">
      <c r="A3" s="8" t="s">
        <v>116</v>
      </c>
      <c r="B3" t="s">
        <v>136</v>
      </c>
    </row>
    <row r="4" spans="1:2" x14ac:dyDescent="0.25">
      <c r="A4" s="9" t="s">
        <v>14</v>
      </c>
      <c r="B4" s="4">
        <v>39</v>
      </c>
    </row>
    <row r="5" spans="1:2" x14ac:dyDescent="0.25">
      <c r="A5" s="9" t="s">
        <v>64</v>
      </c>
      <c r="B5" s="4">
        <v>69</v>
      </c>
    </row>
    <row r="6" spans="1:2" x14ac:dyDescent="0.25">
      <c r="A6" s="9" t="s">
        <v>9</v>
      </c>
      <c r="B6" s="4">
        <v>55</v>
      </c>
    </row>
    <row r="7" spans="1:2" x14ac:dyDescent="0.25">
      <c r="A7" s="9" t="s">
        <v>8</v>
      </c>
      <c r="B7" s="4">
        <v>15</v>
      </c>
    </row>
    <row r="8" spans="1:2" x14ac:dyDescent="0.25">
      <c r="A8" s="9" t="s">
        <v>22</v>
      </c>
      <c r="B8" s="4">
        <v>44</v>
      </c>
    </row>
    <row r="9" spans="1:2" x14ac:dyDescent="0.25">
      <c r="A9" s="9" t="s">
        <v>28</v>
      </c>
      <c r="B9" s="4">
        <v>49</v>
      </c>
    </row>
    <row r="10" spans="1:2" x14ac:dyDescent="0.25">
      <c r="A10" s="9" t="s">
        <v>65</v>
      </c>
      <c r="B10" s="4">
        <v>15</v>
      </c>
    </row>
    <row r="11" spans="1:2" x14ac:dyDescent="0.25">
      <c r="A11" s="9" t="s">
        <v>5</v>
      </c>
      <c r="B11" s="4">
        <v>24</v>
      </c>
    </row>
    <row r="12" spans="1:2" x14ac:dyDescent="0.25">
      <c r="A12" s="9" t="s">
        <v>40</v>
      </c>
      <c r="B12" s="4">
        <v>36</v>
      </c>
    </row>
    <row r="13" spans="1:2" x14ac:dyDescent="0.25">
      <c r="A13" s="9" t="s">
        <v>66</v>
      </c>
      <c r="B13" s="4">
        <v>16</v>
      </c>
    </row>
    <row r="14" spans="1:2" x14ac:dyDescent="0.25">
      <c r="A14" s="9" t="s">
        <v>120</v>
      </c>
      <c r="B14" s="4">
        <v>69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5F9D6-4733-4093-839A-FA34C8DD528B}">
  <dimension ref="A3:B14"/>
  <sheetViews>
    <sheetView topLeftCell="B1" workbookViewId="0">
      <selection activeCell="L3" sqref="L3"/>
    </sheetView>
  </sheetViews>
  <sheetFormatPr defaultRowHeight="15" x14ac:dyDescent="0.25"/>
  <cols>
    <col min="1" max="1" width="78.140625" bestFit="1" customWidth="1"/>
    <col min="2" max="2" width="14.42578125" bestFit="1" customWidth="1"/>
  </cols>
  <sheetData>
    <row r="3" spans="1:2" x14ac:dyDescent="0.25">
      <c r="A3" s="8" t="s">
        <v>116</v>
      </c>
      <c r="B3" t="s">
        <v>138</v>
      </c>
    </row>
    <row r="4" spans="1:2" x14ac:dyDescent="0.25">
      <c r="A4" s="9" t="s">
        <v>66</v>
      </c>
      <c r="B4" s="13">
        <v>2.9</v>
      </c>
    </row>
    <row r="5" spans="1:2" x14ac:dyDescent="0.25">
      <c r="A5" s="9" t="s">
        <v>40</v>
      </c>
      <c r="B5" s="13">
        <v>4.3</v>
      </c>
    </row>
    <row r="6" spans="1:2" x14ac:dyDescent="0.25">
      <c r="A6" s="9" t="s">
        <v>5</v>
      </c>
      <c r="B6" s="13">
        <v>4.5999999999999996</v>
      </c>
    </row>
    <row r="7" spans="1:2" x14ac:dyDescent="0.25">
      <c r="A7" s="9" t="s">
        <v>65</v>
      </c>
      <c r="B7" s="13">
        <v>2.7</v>
      </c>
    </row>
    <row r="8" spans="1:2" x14ac:dyDescent="0.25">
      <c r="A8" s="9" t="s">
        <v>28</v>
      </c>
      <c r="B8" s="13">
        <v>4.5999999999999996</v>
      </c>
    </row>
    <row r="9" spans="1:2" x14ac:dyDescent="0.25">
      <c r="A9" s="9" t="s">
        <v>22</v>
      </c>
      <c r="B9" s="13">
        <v>4.5999999999999996</v>
      </c>
    </row>
    <row r="10" spans="1:2" x14ac:dyDescent="0.25">
      <c r="A10" s="9" t="s">
        <v>8</v>
      </c>
      <c r="B10" s="13">
        <v>4</v>
      </c>
    </row>
    <row r="11" spans="1:2" x14ac:dyDescent="0.25">
      <c r="A11" s="9" t="s">
        <v>9</v>
      </c>
      <c r="B11" s="13">
        <v>4.5999999999999996</v>
      </c>
    </row>
    <row r="12" spans="1:2" x14ac:dyDescent="0.25">
      <c r="A12" s="9" t="s">
        <v>64</v>
      </c>
      <c r="B12" s="13">
        <v>2.8</v>
      </c>
    </row>
    <row r="13" spans="1:2" x14ac:dyDescent="0.25">
      <c r="A13" s="9" t="s">
        <v>14</v>
      </c>
      <c r="B13" s="13">
        <v>4.7</v>
      </c>
    </row>
    <row r="14" spans="1:2" x14ac:dyDescent="0.25">
      <c r="A14" s="9" t="s">
        <v>120</v>
      </c>
      <c r="B14" s="13">
        <v>39.800000000000004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14BF2-6C06-4192-A2C5-BD3094288D3D}">
  <dimension ref="A3:B14"/>
  <sheetViews>
    <sheetView workbookViewId="0">
      <selection activeCell="A3" sqref="A3"/>
    </sheetView>
  </sheetViews>
  <sheetFormatPr defaultRowHeight="15" x14ac:dyDescent="0.25"/>
  <cols>
    <col min="1" max="1" width="78.140625" bestFit="1" customWidth="1"/>
    <col min="2" max="2" width="14.42578125" bestFit="1" customWidth="1"/>
  </cols>
  <sheetData>
    <row r="3" spans="1:2" x14ac:dyDescent="0.25">
      <c r="A3" s="8" t="s">
        <v>116</v>
      </c>
      <c r="B3" t="s">
        <v>138</v>
      </c>
    </row>
    <row r="4" spans="1:2" x14ac:dyDescent="0.25">
      <c r="A4" s="9" t="s">
        <v>14</v>
      </c>
      <c r="B4" s="13">
        <v>4.7</v>
      </c>
    </row>
    <row r="5" spans="1:2" x14ac:dyDescent="0.25">
      <c r="A5" s="9" t="s">
        <v>64</v>
      </c>
      <c r="B5" s="13">
        <v>2.8</v>
      </c>
    </row>
    <row r="6" spans="1:2" x14ac:dyDescent="0.25">
      <c r="A6" s="9" t="s">
        <v>9</v>
      </c>
      <c r="B6" s="13">
        <v>4.5999999999999996</v>
      </c>
    </row>
    <row r="7" spans="1:2" x14ac:dyDescent="0.25">
      <c r="A7" s="9" t="s">
        <v>8</v>
      </c>
      <c r="B7" s="13">
        <v>4</v>
      </c>
    </row>
    <row r="8" spans="1:2" x14ac:dyDescent="0.25">
      <c r="A8" s="9" t="s">
        <v>22</v>
      </c>
      <c r="B8" s="13">
        <v>4.5999999999999996</v>
      </c>
    </row>
    <row r="9" spans="1:2" x14ac:dyDescent="0.25">
      <c r="A9" s="9" t="s">
        <v>28</v>
      </c>
      <c r="B9" s="13">
        <v>4.5999999999999996</v>
      </c>
    </row>
    <row r="10" spans="1:2" x14ac:dyDescent="0.25">
      <c r="A10" s="9" t="s">
        <v>65</v>
      </c>
      <c r="B10" s="13">
        <v>2.7</v>
      </c>
    </row>
    <row r="11" spans="1:2" x14ac:dyDescent="0.25">
      <c r="A11" s="9" t="s">
        <v>5</v>
      </c>
      <c r="B11" s="13">
        <v>4.5999999999999996</v>
      </c>
    </row>
    <row r="12" spans="1:2" x14ac:dyDescent="0.25">
      <c r="A12" s="9" t="s">
        <v>40</v>
      </c>
      <c r="B12" s="13">
        <v>4.3</v>
      </c>
    </row>
    <row r="13" spans="1:2" x14ac:dyDescent="0.25">
      <c r="A13" s="9" t="s">
        <v>66</v>
      </c>
      <c r="B13" s="13">
        <v>2.9</v>
      </c>
    </row>
    <row r="14" spans="1:2" x14ac:dyDescent="0.25">
      <c r="A14" s="9" t="s">
        <v>120</v>
      </c>
      <c r="B14" s="13">
        <v>39.799999999999997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22390-A90A-4F88-A693-266C62316E28}">
  <dimension ref="A3:C7"/>
  <sheetViews>
    <sheetView workbookViewId="0">
      <selection activeCell="D13" sqref="D13"/>
    </sheetView>
  </sheetViews>
  <sheetFormatPr defaultRowHeight="15" x14ac:dyDescent="0.25"/>
  <cols>
    <col min="1" max="1" width="13.140625" bestFit="1" customWidth="1"/>
    <col min="2" max="2" width="18" bestFit="1" customWidth="1"/>
    <col min="3" max="3" width="14.28515625" bestFit="1" customWidth="1"/>
  </cols>
  <sheetData>
    <row r="3" spans="1:3" x14ac:dyDescent="0.25">
      <c r="A3" s="8" t="s">
        <v>116</v>
      </c>
      <c r="B3" t="s">
        <v>121</v>
      </c>
      <c r="C3" t="s">
        <v>137</v>
      </c>
    </row>
    <row r="4" spans="1:3" x14ac:dyDescent="0.25">
      <c r="A4" s="9" t="s">
        <v>117</v>
      </c>
      <c r="B4" s="13">
        <v>3.6</v>
      </c>
      <c r="C4" s="4">
        <v>164</v>
      </c>
    </row>
    <row r="5" spans="1:3" x14ac:dyDescent="0.25">
      <c r="A5" s="9" t="s">
        <v>118</v>
      </c>
      <c r="B5" s="13">
        <v>4</v>
      </c>
      <c r="C5" s="4">
        <v>15</v>
      </c>
    </row>
    <row r="6" spans="1:3" x14ac:dyDescent="0.25">
      <c r="A6" s="9" t="s">
        <v>119</v>
      </c>
      <c r="B6" s="13">
        <v>4.2799999999999994</v>
      </c>
      <c r="C6" s="4">
        <v>183</v>
      </c>
    </row>
    <row r="7" spans="1:3" x14ac:dyDescent="0.25">
      <c r="A7" s="9" t="s">
        <v>120</v>
      </c>
      <c r="B7" s="13">
        <v>3.9800000000000004</v>
      </c>
      <c r="C7" s="4">
        <v>362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6B0A-A678-4246-8AB3-3BD3832702B4}">
  <dimension ref="A3:B7"/>
  <sheetViews>
    <sheetView workbookViewId="0">
      <selection activeCell="G20" sqref="G20"/>
    </sheetView>
  </sheetViews>
  <sheetFormatPr defaultRowHeight="15" x14ac:dyDescent="0.25"/>
  <cols>
    <col min="1" max="1" width="13.140625" bestFit="1" customWidth="1"/>
    <col min="2" max="2" width="16" bestFit="1" customWidth="1"/>
  </cols>
  <sheetData>
    <row r="3" spans="1:2" x14ac:dyDescent="0.25">
      <c r="A3" s="8" t="s">
        <v>116</v>
      </c>
      <c r="B3" t="s">
        <v>134</v>
      </c>
    </row>
    <row r="4" spans="1:2" x14ac:dyDescent="0.25">
      <c r="A4" s="9" t="s">
        <v>123</v>
      </c>
      <c r="B4" s="13">
        <v>2</v>
      </c>
    </row>
    <row r="5" spans="1:2" x14ac:dyDescent="0.25">
      <c r="A5" s="9" t="s">
        <v>124</v>
      </c>
      <c r="B5" s="13">
        <v>5</v>
      </c>
    </row>
    <row r="6" spans="1:2" x14ac:dyDescent="0.25">
      <c r="A6" s="9" t="s">
        <v>125</v>
      </c>
      <c r="B6" s="13">
        <v>3</v>
      </c>
    </row>
    <row r="7" spans="1:2" x14ac:dyDescent="0.25">
      <c r="A7" s="9" t="s">
        <v>120</v>
      </c>
      <c r="B7" s="13">
        <v>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9546F-D4B5-4298-84DE-E00567667E7F}">
  <dimension ref="A3:B7"/>
  <sheetViews>
    <sheetView workbookViewId="0">
      <selection activeCell="B15" sqref="B15"/>
    </sheetView>
  </sheetViews>
  <sheetFormatPr defaultRowHeight="15" x14ac:dyDescent="0.25"/>
  <cols>
    <col min="1" max="1" width="13.140625" bestFit="1" customWidth="1"/>
    <col min="2" max="2" width="16" bestFit="1" customWidth="1"/>
    <col min="3" max="3" width="15.42578125" bestFit="1" customWidth="1"/>
  </cols>
  <sheetData>
    <row r="3" spans="1:2" x14ac:dyDescent="0.25">
      <c r="A3" s="8" t="s">
        <v>116</v>
      </c>
      <c r="B3" t="s">
        <v>134</v>
      </c>
    </row>
    <row r="4" spans="1:2" x14ac:dyDescent="0.25">
      <c r="A4" s="9" t="s">
        <v>117</v>
      </c>
      <c r="B4" s="13">
        <v>59</v>
      </c>
    </row>
    <row r="5" spans="1:2" x14ac:dyDescent="0.25">
      <c r="A5" s="9" t="s">
        <v>118</v>
      </c>
      <c r="B5" s="13">
        <v>18</v>
      </c>
    </row>
    <row r="6" spans="1:2" x14ac:dyDescent="0.25">
      <c r="A6" s="9" t="s">
        <v>119</v>
      </c>
      <c r="B6" s="13">
        <v>32</v>
      </c>
    </row>
    <row r="7" spans="1:2" x14ac:dyDescent="0.25">
      <c r="A7" s="9" t="s">
        <v>120</v>
      </c>
      <c r="B7" s="13">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F6330-3138-45C8-9101-7790549A97B0}">
  <dimension ref="A3:C7"/>
  <sheetViews>
    <sheetView workbookViewId="0">
      <selection activeCell="H16" sqref="H16"/>
    </sheetView>
  </sheetViews>
  <sheetFormatPr defaultRowHeight="15" x14ac:dyDescent="0.25"/>
  <cols>
    <col min="1" max="1" width="13.140625" bestFit="1" customWidth="1"/>
    <col min="2" max="2" width="16.7109375" bestFit="1" customWidth="1"/>
    <col min="3" max="4" width="17.85546875" bestFit="1" customWidth="1"/>
  </cols>
  <sheetData>
    <row r="3" spans="1:3" x14ac:dyDescent="0.25">
      <c r="A3" s="8" t="s">
        <v>116</v>
      </c>
      <c r="B3" t="s">
        <v>144</v>
      </c>
      <c r="C3" t="s">
        <v>143</v>
      </c>
    </row>
    <row r="4" spans="1:3" x14ac:dyDescent="0.25">
      <c r="A4" s="9" t="s">
        <v>117</v>
      </c>
      <c r="B4" s="13">
        <v>1.8689655172413788</v>
      </c>
      <c r="C4" s="13">
        <v>5.6610169491525424</v>
      </c>
    </row>
    <row r="5" spans="1:3" x14ac:dyDescent="0.25">
      <c r="A5" s="9" t="s">
        <v>118</v>
      </c>
      <c r="B5" s="13">
        <v>0.82777777777777772</v>
      </c>
      <c r="C5" s="13">
        <v>2.1111111111111112</v>
      </c>
    </row>
    <row r="6" spans="1:3" x14ac:dyDescent="0.25">
      <c r="A6" s="9" t="s">
        <v>119</v>
      </c>
      <c r="B6" s="13">
        <v>3.0750000000000006</v>
      </c>
      <c r="C6" s="13">
        <v>10.96875</v>
      </c>
    </row>
    <row r="7" spans="1:3" x14ac:dyDescent="0.25">
      <c r="A7" s="9" t="s">
        <v>120</v>
      </c>
      <c r="B7" s="13">
        <v>2.0527777777777771</v>
      </c>
      <c r="C7" s="13">
        <v>6.6330275229357802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D4127-7A20-4D20-B187-B3E8529ECD7A}">
  <dimension ref="A3:B6"/>
  <sheetViews>
    <sheetView workbookViewId="0">
      <selection activeCell="E19" sqref="E19"/>
    </sheetView>
  </sheetViews>
  <sheetFormatPr defaultRowHeight="15" x14ac:dyDescent="0.25"/>
  <cols>
    <col min="1" max="1" width="17.28515625" bestFit="1" customWidth="1"/>
    <col min="2" max="2" width="19" bestFit="1" customWidth="1"/>
  </cols>
  <sheetData>
    <row r="3" spans="1:2" x14ac:dyDescent="0.25">
      <c r="A3" s="8" t="s">
        <v>113</v>
      </c>
      <c r="B3" t="s">
        <v>122</v>
      </c>
    </row>
    <row r="4" spans="1:2" x14ac:dyDescent="0.25">
      <c r="A4" t="s">
        <v>123</v>
      </c>
      <c r="B4" s="13">
        <v>0.38045454545454549</v>
      </c>
    </row>
    <row r="5" spans="1:2" x14ac:dyDescent="0.25">
      <c r="A5" t="s">
        <v>124</v>
      </c>
      <c r="B5" s="13">
        <v>0.3765217391304348</v>
      </c>
    </row>
    <row r="6" spans="1:2" x14ac:dyDescent="0.25">
      <c r="A6" t="s">
        <v>125</v>
      </c>
      <c r="B6" s="13">
        <v>0.35359374999999987</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AE02-4BD0-494A-8AB3-5A5AFF526CCD}">
  <dimension ref="A3:B50"/>
  <sheetViews>
    <sheetView workbookViewId="0">
      <selection activeCell="A3" sqref="A3"/>
    </sheetView>
  </sheetViews>
  <sheetFormatPr defaultRowHeight="15" x14ac:dyDescent="0.25"/>
  <cols>
    <col min="1" max="1" width="13.140625" bestFit="1" customWidth="1"/>
    <col min="2" max="2" width="15.7109375" bestFit="1" customWidth="1"/>
  </cols>
  <sheetData>
    <row r="3" spans="1:2" x14ac:dyDescent="0.25">
      <c r="A3" s="8" t="s">
        <v>116</v>
      </c>
      <c r="B3" t="s">
        <v>142</v>
      </c>
    </row>
    <row r="4" spans="1:2" x14ac:dyDescent="0.25">
      <c r="A4" s="14">
        <v>0.01</v>
      </c>
      <c r="B4" s="13">
        <v>1</v>
      </c>
    </row>
    <row r="5" spans="1:2" x14ac:dyDescent="0.25">
      <c r="A5" s="14">
        <v>0.02</v>
      </c>
      <c r="B5" s="13">
        <v>6</v>
      </c>
    </row>
    <row r="6" spans="1:2" x14ac:dyDescent="0.25">
      <c r="A6" s="14">
        <v>0.03</v>
      </c>
      <c r="B6" s="13">
        <v>1</v>
      </c>
    </row>
    <row r="7" spans="1:2" x14ac:dyDescent="0.25">
      <c r="A7" s="14">
        <v>0.04</v>
      </c>
      <c r="B7" s="13">
        <v>2</v>
      </c>
    </row>
    <row r="8" spans="1:2" x14ac:dyDescent="0.25">
      <c r="A8" s="14">
        <v>0.08</v>
      </c>
      <c r="B8" s="13">
        <v>1</v>
      </c>
    </row>
    <row r="9" spans="1:2" x14ac:dyDescent="0.25">
      <c r="A9" s="14">
        <v>0.09</v>
      </c>
      <c r="B9" s="13">
        <v>1</v>
      </c>
    </row>
    <row r="10" spans="1:2" x14ac:dyDescent="0.25">
      <c r="A10" s="14">
        <v>0.11</v>
      </c>
      <c r="B10" s="13">
        <v>1</v>
      </c>
    </row>
    <row r="11" spans="1:2" x14ac:dyDescent="0.25">
      <c r="A11" s="14">
        <v>0.13</v>
      </c>
      <c r="B11" s="13">
        <v>1</v>
      </c>
    </row>
    <row r="12" spans="1:2" x14ac:dyDescent="0.25">
      <c r="A12" s="14">
        <v>0.14000000000000001</v>
      </c>
      <c r="B12" s="13">
        <v>2</v>
      </c>
    </row>
    <row r="13" spans="1:2" x14ac:dyDescent="0.25">
      <c r="A13" s="14">
        <v>0.18</v>
      </c>
      <c r="B13" s="13">
        <v>1</v>
      </c>
    </row>
    <row r="14" spans="1:2" x14ac:dyDescent="0.25">
      <c r="A14" s="14">
        <v>0.19</v>
      </c>
      <c r="B14" s="13">
        <v>1</v>
      </c>
    </row>
    <row r="15" spans="1:2" x14ac:dyDescent="0.25">
      <c r="A15" s="14">
        <v>0.2</v>
      </c>
      <c r="B15" s="13">
        <v>1</v>
      </c>
    </row>
    <row r="16" spans="1:2" x14ac:dyDescent="0.25">
      <c r="A16" s="14">
        <v>0.21</v>
      </c>
      <c r="B16" s="13">
        <v>1</v>
      </c>
    </row>
    <row r="17" spans="1:2" x14ac:dyDescent="0.25">
      <c r="A17" s="14">
        <v>0.22</v>
      </c>
      <c r="B17" s="13">
        <v>2</v>
      </c>
    </row>
    <row r="18" spans="1:2" x14ac:dyDescent="0.25">
      <c r="A18" s="14">
        <v>0.23</v>
      </c>
      <c r="B18" s="13">
        <v>1</v>
      </c>
    </row>
    <row r="19" spans="1:2" x14ac:dyDescent="0.25">
      <c r="A19" s="14">
        <v>0.24</v>
      </c>
      <c r="B19" s="13">
        <v>2</v>
      </c>
    </row>
    <row r="20" spans="1:2" x14ac:dyDescent="0.25">
      <c r="A20" s="14">
        <v>0.25</v>
      </c>
      <c r="B20" s="13">
        <v>1</v>
      </c>
    </row>
    <row r="21" spans="1:2" x14ac:dyDescent="0.25">
      <c r="A21" s="14">
        <v>0.26</v>
      </c>
      <c r="B21" s="13">
        <v>1</v>
      </c>
    </row>
    <row r="22" spans="1:2" x14ac:dyDescent="0.25">
      <c r="A22" s="14">
        <v>0.27</v>
      </c>
      <c r="B22" s="13">
        <v>3</v>
      </c>
    </row>
    <row r="23" spans="1:2" x14ac:dyDescent="0.25">
      <c r="A23" s="14">
        <v>0.28999999999999998</v>
      </c>
      <c r="B23" s="13">
        <v>1</v>
      </c>
    </row>
    <row r="24" spans="1:2" x14ac:dyDescent="0.25">
      <c r="A24" s="14">
        <v>0.3</v>
      </c>
      <c r="B24" s="13">
        <v>1</v>
      </c>
    </row>
    <row r="25" spans="1:2" x14ac:dyDescent="0.25">
      <c r="A25" s="14">
        <v>0.32</v>
      </c>
      <c r="B25" s="13">
        <v>1</v>
      </c>
    </row>
    <row r="26" spans="1:2" x14ac:dyDescent="0.25">
      <c r="A26" s="14">
        <v>0.33</v>
      </c>
      <c r="B26" s="13">
        <v>2</v>
      </c>
    </row>
    <row r="27" spans="1:2" x14ac:dyDescent="0.25">
      <c r="A27" s="14">
        <v>0.34</v>
      </c>
      <c r="B27" s="13">
        <v>4</v>
      </c>
    </row>
    <row r="28" spans="1:2" x14ac:dyDescent="0.25">
      <c r="A28" s="14">
        <v>0.35</v>
      </c>
      <c r="B28" s="13">
        <v>2</v>
      </c>
    </row>
    <row r="29" spans="1:2" x14ac:dyDescent="0.25">
      <c r="A29" s="14">
        <v>0.36</v>
      </c>
      <c r="B29" s="13">
        <v>1</v>
      </c>
    </row>
    <row r="30" spans="1:2" x14ac:dyDescent="0.25">
      <c r="A30" s="14">
        <v>0.37</v>
      </c>
      <c r="B30" s="13">
        <v>2</v>
      </c>
    </row>
    <row r="31" spans="1:2" x14ac:dyDescent="0.25">
      <c r="A31" s="14">
        <v>0.38</v>
      </c>
      <c r="B31" s="13">
        <v>4</v>
      </c>
    </row>
    <row r="32" spans="1:2" x14ac:dyDescent="0.25">
      <c r="A32" s="14">
        <v>0.39</v>
      </c>
      <c r="B32" s="13">
        <v>1</v>
      </c>
    </row>
    <row r="33" spans="1:2" x14ac:dyDescent="0.25">
      <c r="A33" s="14">
        <v>0.4</v>
      </c>
      <c r="B33" s="13">
        <v>1</v>
      </c>
    </row>
    <row r="34" spans="1:2" x14ac:dyDescent="0.25">
      <c r="A34" s="14">
        <v>0.41</v>
      </c>
      <c r="B34" s="13">
        <v>3</v>
      </c>
    </row>
    <row r="35" spans="1:2" x14ac:dyDescent="0.25">
      <c r="A35" s="14">
        <v>0.42</v>
      </c>
      <c r="B35" s="13">
        <v>4</v>
      </c>
    </row>
    <row r="36" spans="1:2" x14ac:dyDescent="0.25">
      <c r="A36" s="14">
        <v>0.43</v>
      </c>
      <c r="B36" s="13">
        <v>4</v>
      </c>
    </row>
    <row r="37" spans="1:2" x14ac:dyDescent="0.25">
      <c r="A37" s="14">
        <v>0.45</v>
      </c>
      <c r="B37" s="13">
        <v>4</v>
      </c>
    </row>
    <row r="38" spans="1:2" x14ac:dyDescent="0.25">
      <c r="A38" s="14">
        <v>0.46</v>
      </c>
      <c r="B38" s="13">
        <v>3</v>
      </c>
    </row>
    <row r="39" spans="1:2" x14ac:dyDescent="0.25">
      <c r="A39" s="14">
        <v>0.47</v>
      </c>
      <c r="B39" s="13">
        <v>7</v>
      </c>
    </row>
    <row r="40" spans="1:2" x14ac:dyDescent="0.25">
      <c r="A40" s="14">
        <v>0.48</v>
      </c>
      <c r="B40" s="13">
        <v>4</v>
      </c>
    </row>
    <row r="41" spans="1:2" x14ac:dyDescent="0.25">
      <c r="A41" s="14">
        <v>0.49</v>
      </c>
      <c r="B41" s="13">
        <v>12</v>
      </c>
    </row>
    <row r="42" spans="1:2" x14ac:dyDescent="0.25">
      <c r="A42" s="14">
        <v>0.5</v>
      </c>
      <c r="B42" s="13">
        <v>7</v>
      </c>
    </row>
    <row r="43" spans="1:2" x14ac:dyDescent="0.25">
      <c r="A43" s="14">
        <v>0.51</v>
      </c>
      <c r="B43" s="13">
        <v>1</v>
      </c>
    </row>
    <row r="44" spans="1:2" x14ac:dyDescent="0.25">
      <c r="A44" s="14">
        <v>0.52</v>
      </c>
      <c r="B44" s="13">
        <v>2</v>
      </c>
    </row>
    <row r="45" spans="1:2" x14ac:dyDescent="0.25">
      <c r="A45" s="14">
        <v>0.53</v>
      </c>
      <c r="B45" s="13">
        <v>2</v>
      </c>
    </row>
    <row r="46" spans="1:2" x14ac:dyDescent="0.25">
      <c r="A46" s="14">
        <v>0.54</v>
      </c>
      <c r="B46" s="13">
        <v>2</v>
      </c>
    </row>
    <row r="47" spans="1:2" x14ac:dyDescent="0.25">
      <c r="A47" s="14">
        <v>0.55000000000000004</v>
      </c>
      <c r="B47" s="13">
        <v>2</v>
      </c>
    </row>
    <row r="48" spans="1:2" x14ac:dyDescent="0.25">
      <c r="A48" s="14">
        <v>0.61</v>
      </c>
      <c r="B48" s="13">
        <v>1</v>
      </c>
    </row>
    <row r="49" spans="1:2" x14ac:dyDescent="0.25">
      <c r="A49" s="14">
        <v>0.64</v>
      </c>
      <c r="B49" s="13">
        <v>1</v>
      </c>
    </row>
    <row r="50" spans="1:2" x14ac:dyDescent="0.25">
      <c r="A50" s="14" t="s">
        <v>120</v>
      </c>
      <c r="B50" s="13">
        <v>109</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99723-A411-48D5-B2F4-495296E7B8CD}">
  <dimension ref="A1:Z71"/>
  <sheetViews>
    <sheetView showGridLines="0" tabSelected="1" topLeftCell="A36" workbookViewId="0">
      <selection activeCell="R65" sqref="R65"/>
    </sheetView>
  </sheetViews>
  <sheetFormatPr defaultRowHeight="15" x14ac:dyDescent="0.25"/>
  <sheetData>
    <row r="1" spans="1:26" x14ac:dyDescent="0.25">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x14ac:dyDescent="0.25">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x14ac:dyDescent="0.25">
      <c r="A3" s="15"/>
      <c r="B3" s="15"/>
      <c r="C3" s="15"/>
      <c r="D3" s="15"/>
      <c r="E3" s="15"/>
      <c r="F3" s="15"/>
      <c r="G3" s="15"/>
      <c r="H3" s="15"/>
      <c r="I3" s="15"/>
      <c r="J3" s="15"/>
      <c r="K3" s="15"/>
      <c r="L3" s="15"/>
      <c r="M3" s="15"/>
      <c r="N3" s="15"/>
      <c r="O3" s="15"/>
      <c r="P3" s="15"/>
      <c r="Q3" s="15"/>
      <c r="R3" s="15"/>
      <c r="S3" s="15"/>
      <c r="T3" s="15"/>
      <c r="U3" s="15"/>
      <c r="V3" s="15"/>
      <c r="W3" s="15"/>
      <c r="X3" s="15"/>
      <c r="Y3" s="15"/>
      <c r="Z3" s="15"/>
    </row>
    <row r="4" spans="1:26" x14ac:dyDescent="0.25">
      <c r="A4" s="15"/>
      <c r="B4" s="15"/>
      <c r="C4" s="15"/>
      <c r="D4" s="15"/>
      <c r="E4" s="15"/>
      <c r="F4" s="15"/>
      <c r="G4" s="15"/>
      <c r="H4" s="15"/>
      <c r="I4" s="15"/>
      <c r="J4" s="15"/>
      <c r="K4" s="15"/>
      <c r="L4" s="15"/>
      <c r="M4" s="15"/>
      <c r="N4" s="15"/>
      <c r="O4" s="15"/>
      <c r="P4" s="15"/>
      <c r="Q4" s="15"/>
      <c r="R4" s="15"/>
      <c r="S4" s="15"/>
      <c r="T4" s="15"/>
      <c r="U4" s="15"/>
      <c r="V4" s="15"/>
      <c r="W4" s="15"/>
      <c r="X4" s="15"/>
      <c r="Y4" s="15"/>
      <c r="Z4" s="15"/>
    </row>
    <row r="5" spans="1:26" x14ac:dyDescent="0.25">
      <c r="A5" s="15"/>
      <c r="B5" s="15"/>
      <c r="C5" s="15"/>
      <c r="D5" s="15"/>
      <c r="E5" s="15"/>
      <c r="F5" s="15"/>
      <c r="G5" s="15"/>
      <c r="H5" s="15"/>
      <c r="I5" s="15"/>
      <c r="J5" s="15"/>
      <c r="K5" s="15"/>
      <c r="L5" s="15"/>
      <c r="M5" s="15"/>
      <c r="N5" s="15"/>
      <c r="O5" s="15"/>
      <c r="P5" s="15"/>
      <c r="Q5" s="15"/>
      <c r="R5" s="15"/>
      <c r="S5" s="15"/>
      <c r="T5" s="15"/>
      <c r="U5" s="15"/>
      <c r="V5" s="15"/>
      <c r="W5" s="15"/>
      <c r="X5" s="15"/>
      <c r="Y5" s="15"/>
      <c r="Z5" s="15"/>
    </row>
    <row r="6" spans="1:26" x14ac:dyDescent="0.25">
      <c r="A6" s="15"/>
      <c r="B6" s="15"/>
      <c r="C6" s="15"/>
      <c r="D6" s="15"/>
      <c r="E6" s="15"/>
      <c r="F6" s="15"/>
      <c r="G6" s="15"/>
      <c r="H6" s="15"/>
      <c r="I6" s="15"/>
      <c r="J6" s="15"/>
      <c r="K6" s="15"/>
      <c r="L6" s="15"/>
      <c r="M6" s="15"/>
      <c r="N6" s="15"/>
      <c r="O6" s="15"/>
      <c r="P6" s="15"/>
      <c r="Q6" s="15"/>
      <c r="R6" s="15"/>
      <c r="S6" s="15"/>
      <c r="T6" s="15"/>
      <c r="U6" s="15"/>
      <c r="V6" s="15"/>
      <c r="W6" s="15"/>
      <c r="X6" s="15"/>
      <c r="Y6" s="15"/>
      <c r="Z6" s="15"/>
    </row>
    <row r="7" spans="1:26" x14ac:dyDescent="0.25">
      <c r="A7" s="15"/>
      <c r="B7" s="15"/>
      <c r="C7" s="15"/>
      <c r="D7" s="15"/>
      <c r="E7" s="15"/>
      <c r="F7" s="15"/>
      <c r="G7" s="15"/>
      <c r="H7" s="15"/>
      <c r="I7" s="15"/>
      <c r="J7" s="15"/>
      <c r="K7" s="15"/>
      <c r="L7" s="15"/>
      <c r="M7" s="15"/>
      <c r="N7" s="15"/>
      <c r="O7" s="15"/>
      <c r="P7" s="15"/>
      <c r="Q7" s="15"/>
      <c r="R7" s="15"/>
      <c r="S7" s="15"/>
      <c r="T7" s="15"/>
      <c r="U7" s="15"/>
      <c r="V7" s="15"/>
      <c r="W7" s="15"/>
      <c r="X7" s="15"/>
      <c r="Y7" s="15"/>
      <c r="Z7" s="15"/>
    </row>
    <row r="8" spans="1:26" x14ac:dyDescent="0.25">
      <c r="A8" s="15"/>
      <c r="B8" s="15"/>
      <c r="C8" s="15"/>
      <c r="D8" s="15"/>
      <c r="E8" s="15"/>
      <c r="F8" s="15"/>
      <c r="G8" s="15"/>
      <c r="H8" s="15"/>
      <c r="I8" s="15"/>
      <c r="J8" s="15"/>
      <c r="K8" s="15"/>
      <c r="L8" s="15"/>
      <c r="M8" s="15"/>
      <c r="N8" s="15"/>
      <c r="O8" s="15"/>
      <c r="P8" s="15"/>
      <c r="Q8" s="15"/>
      <c r="R8" s="15"/>
      <c r="S8" s="15"/>
      <c r="T8" s="15"/>
      <c r="U8" s="15"/>
      <c r="V8" s="15"/>
      <c r="W8" s="15"/>
      <c r="X8" s="15"/>
      <c r="Y8" s="15"/>
      <c r="Z8" s="15"/>
    </row>
    <row r="9" spans="1:26" x14ac:dyDescent="0.25">
      <c r="A9" s="15"/>
      <c r="B9" s="15"/>
      <c r="C9" s="15"/>
      <c r="D9" s="15"/>
      <c r="E9" s="15"/>
      <c r="F9" s="15"/>
      <c r="G9" s="15"/>
      <c r="H9" s="15"/>
      <c r="I9" s="15"/>
      <c r="J9" s="15"/>
      <c r="K9" s="15"/>
      <c r="L9" s="15"/>
      <c r="M9" s="15"/>
      <c r="N9" s="15"/>
      <c r="O9" s="15"/>
      <c r="P9" s="15"/>
      <c r="Q9" s="15"/>
      <c r="R9" s="15"/>
      <c r="S9" s="15"/>
      <c r="T9" s="15"/>
      <c r="U9" s="15"/>
      <c r="V9" s="15"/>
      <c r="W9" s="15"/>
      <c r="X9" s="15"/>
      <c r="Y9" s="15"/>
      <c r="Z9" s="15"/>
    </row>
    <row r="10" spans="1:26" x14ac:dyDescent="0.2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x14ac:dyDescent="0.2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x14ac:dyDescent="0.2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x14ac:dyDescent="0.2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x14ac:dyDescent="0.2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x14ac:dyDescent="0.2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x14ac:dyDescent="0.2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x14ac:dyDescent="0.2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x14ac:dyDescent="0.2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x14ac:dyDescent="0.2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x14ac:dyDescent="0.2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x14ac:dyDescent="0.2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x14ac:dyDescent="0.2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x14ac:dyDescent="0.2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x14ac:dyDescent="0.2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2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2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2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2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0D71-E837-4C5D-B4DF-9A462CEBC342}">
  <dimension ref="A3:B28"/>
  <sheetViews>
    <sheetView workbookViewId="0">
      <selection activeCell="A3" sqref="A3"/>
    </sheetView>
  </sheetViews>
  <sheetFormatPr defaultRowHeight="15" x14ac:dyDescent="0.25"/>
  <cols>
    <col min="1" max="1" width="13.140625" bestFit="1" customWidth="1"/>
    <col min="2" max="2" width="15.7109375" bestFit="1" customWidth="1"/>
  </cols>
  <sheetData>
    <row r="3" spans="1:2" x14ac:dyDescent="0.25">
      <c r="A3" s="8" t="s">
        <v>116</v>
      </c>
      <c r="B3" t="s">
        <v>142</v>
      </c>
    </row>
    <row r="4" spans="1:2" x14ac:dyDescent="0.25">
      <c r="A4" s="9">
        <v>0</v>
      </c>
      <c r="B4" s="13">
        <v>51</v>
      </c>
    </row>
    <row r="5" spans="1:2" x14ac:dyDescent="0.25">
      <c r="A5" s="9">
        <v>2</v>
      </c>
      <c r="B5" s="13">
        <v>1</v>
      </c>
    </row>
    <row r="6" spans="1:2" x14ac:dyDescent="0.25">
      <c r="A6" s="9">
        <v>2.1</v>
      </c>
      <c r="B6" s="13">
        <v>2</v>
      </c>
    </row>
    <row r="7" spans="1:2" x14ac:dyDescent="0.25">
      <c r="A7" s="9">
        <v>2.2000000000000002</v>
      </c>
      <c r="B7" s="13">
        <v>2</v>
      </c>
    </row>
    <row r="8" spans="1:2" x14ac:dyDescent="0.25">
      <c r="A8" s="9">
        <v>2.2999999999999998</v>
      </c>
      <c r="B8" s="13">
        <v>2</v>
      </c>
    </row>
    <row r="9" spans="1:2" x14ac:dyDescent="0.25">
      <c r="A9" s="9">
        <v>2.5</v>
      </c>
      <c r="B9" s="13">
        <v>1</v>
      </c>
    </row>
    <row r="10" spans="1:2" x14ac:dyDescent="0.25">
      <c r="A10" s="9">
        <v>2.6</v>
      </c>
      <c r="B10" s="13">
        <v>1</v>
      </c>
    </row>
    <row r="11" spans="1:2" x14ac:dyDescent="0.25">
      <c r="A11" s="9">
        <v>2.7</v>
      </c>
      <c r="B11" s="13">
        <v>1</v>
      </c>
    </row>
    <row r="12" spans="1:2" x14ac:dyDescent="0.25">
      <c r="A12" s="9">
        <v>2.8</v>
      </c>
      <c r="B12" s="13">
        <v>1</v>
      </c>
    </row>
    <row r="13" spans="1:2" x14ac:dyDescent="0.25">
      <c r="A13" s="9">
        <v>2.9</v>
      </c>
      <c r="B13" s="13">
        <v>1</v>
      </c>
    </row>
    <row r="14" spans="1:2" x14ac:dyDescent="0.25">
      <c r="A14" s="9">
        <v>3</v>
      </c>
      <c r="B14" s="13">
        <v>5</v>
      </c>
    </row>
    <row r="15" spans="1:2" x14ac:dyDescent="0.25">
      <c r="A15" s="9">
        <v>3.3</v>
      </c>
      <c r="B15" s="13">
        <v>1</v>
      </c>
    </row>
    <row r="16" spans="1:2" x14ac:dyDescent="0.25">
      <c r="A16" s="9">
        <v>3.8</v>
      </c>
      <c r="B16" s="13">
        <v>3</v>
      </c>
    </row>
    <row r="17" spans="1:2" x14ac:dyDescent="0.25">
      <c r="A17" s="9">
        <v>4</v>
      </c>
      <c r="B17" s="13">
        <v>4</v>
      </c>
    </row>
    <row r="18" spans="1:2" x14ac:dyDescent="0.25">
      <c r="A18" s="9">
        <v>4.0999999999999996</v>
      </c>
      <c r="B18" s="13">
        <v>3</v>
      </c>
    </row>
    <row r="19" spans="1:2" x14ac:dyDescent="0.25">
      <c r="A19" s="9">
        <v>4.2</v>
      </c>
      <c r="B19" s="13">
        <v>1</v>
      </c>
    </row>
    <row r="20" spans="1:2" x14ac:dyDescent="0.25">
      <c r="A20" s="9">
        <v>4.3</v>
      </c>
      <c r="B20" s="13">
        <v>4</v>
      </c>
    </row>
    <row r="21" spans="1:2" x14ac:dyDescent="0.25">
      <c r="A21" s="9">
        <v>4.4000000000000004</v>
      </c>
      <c r="B21" s="13">
        <v>1</v>
      </c>
    </row>
    <row r="22" spans="1:2" x14ac:dyDescent="0.25">
      <c r="A22" s="9">
        <v>4.5</v>
      </c>
      <c r="B22" s="13">
        <v>4</v>
      </c>
    </row>
    <row r="23" spans="1:2" x14ac:dyDescent="0.25">
      <c r="A23" s="9">
        <v>4.5999999999999996</v>
      </c>
      <c r="B23" s="13">
        <v>5</v>
      </c>
    </row>
    <row r="24" spans="1:2" x14ac:dyDescent="0.25">
      <c r="A24" s="9">
        <v>4.7</v>
      </c>
      <c r="B24" s="13">
        <v>4</v>
      </c>
    </row>
    <row r="25" spans="1:2" x14ac:dyDescent="0.25">
      <c r="A25" s="9">
        <v>4.8</v>
      </c>
      <c r="B25" s="13">
        <v>3</v>
      </c>
    </row>
    <row r="26" spans="1:2" x14ac:dyDescent="0.25">
      <c r="A26" s="9">
        <v>5</v>
      </c>
      <c r="B26" s="13">
        <v>7</v>
      </c>
    </row>
    <row r="27" spans="1:2" x14ac:dyDescent="0.25">
      <c r="A27" s="9" t="s">
        <v>145</v>
      </c>
      <c r="B27" s="13">
        <v>1</v>
      </c>
    </row>
    <row r="28" spans="1:2" x14ac:dyDescent="0.25">
      <c r="A28" s="9" t="s">
        <v>120</v>
      </c>
      <c r="B28" s="13">
        <v>109</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A170C-8F76-42FE-B4C3-D5E4B91054DE}">
  <dimension ref="A3:B11"/>
  <sheetViews>
    <sheetView workbookViewId="0">
      <selection activeCell="L8" sqref="L8"/>
    </sheetView>
  </sheetViews>
  <sheetFormatPr defaultRowHeight="15" x14ac:dyDescent="0.25"/>
  <cols>
    <col min="1" max="1" width="13.140625" bestFit="1" customWidth="1"/>
    <col min="2" max="2" width="18" bestFit="1" customWidth="1"/>
  </cols>
  <sheetData>
    <row r="3" spans="1:2" x14ac:dyDescent="0.25">
      <c r="A3" s="8" t="s">
        <v>116</v>
      </c>
      <c r="B3" t="s">
        <v>121</v>
      </c>
    </row>
    <row r="4" spans="1:2" x14ac:dyDescent="0.25">
      <c r="A4" s="11" t="s">
        <v>126</v>
      </c>
      <c r="B4" s="13">
        <v>1.5226190476190475</v>
      </c>
    </row>
    <row r="5" spans="1:2" x14ac:dyDescent="0.25">
      <c r="A5" s="11" t="s">
        <v>127</v>
      </c>
      <c r="B5" s="13">
        <v>3.5928571428571439</v>
      </c>
    </row>
    <row r="6" spans="1:2" x14ac:dyDescent="0.25">
      <c r="A6" s="11" t="s">
        <v>128</v>
      </c>
      <c r="B6" s="13">
        <v>4.4666666666666659</v>
      </c>
    </row>
    <row r="7" spans="1:2" x14ac:dyDescent="0.25">
      <c r="A7" s="11" t="s">
        <v>129</v>
      </c>
      <c r="B7" s="13">
        <v>4.5</v>
      </c>
    </row>
    <row r="8" spans="1:2" x14ac:dyDescent="0.25">
      <c r="A8" s="11" t="s">
        <v>130</v>
      </c>
      <c r="B8" s="13">
        <v>4.5999999999999996</v>
      </c>
    </row>
    <row r="9" spans="1:2" x14ac:dyDescent="0.25">
      <c r="A9" s="11" t="s">
        <v>131</v>
      </c>
      <c r="B9" s="13">
        <v>4.5999999999999996</v>
      </c>
    </row>
    <row r="10" spans="1:2" x14ac:dyDescent="0.25">
      <c r="A10" s="11" t="s">
        <v>132</v>
      </c>
      <c r="B10" s="13">
        <v>2.8</v>
      </c>
    </row>
    <row r="11" spans="1:2" x14ac:dyDescent="0.25">
      <c r="A11" s="11" t="s">
        <v>120</v>
      </c>
      <c r="B11" s="13">
        <v>2.0527777777777776</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0B943-2BA1-4094-A903-AAEA5417DC60}">
  <dimension ref="A3:B11"/>
  <sheetViews>
    <sheetView workbookViewId="0">
      <selection activeCell="B3" sqref="B3"/>
    </sheetView>
  </sheetViews>
  <sheetFormatPr defaultRowHeight="15" x14ac:dyDescent="0.25"/>
  <cols>
    <col min="1" max="1" width="13.140625" bestFit="1" customWidth="1"/>
    <col min="2" max="2" width="19" bestFit="1" customWidth="1"/>
  </cols>
  <sheetData>
    <row r="3" spans="1:2" x14ac:dyDescent="0.25">
      <c r="A3" s="8" t="s">
        <v>116</v>
      </c>
      <c r="B3" t="s">
        <v>122</v>
      </c>
    </row>
    <row r="4" spans="1:2" x14ac:dyDescent="0.25">
      <c r="A4" s="11" t="s">
        <v>126</v>
      </c>
      <c r="B4" s="13">
        <v>0.36635294117647044</v>
      </c>
    </row>
    <row r="5" spans="1:2" x14ac:dyDescent="0.25">
      <c r="A5" s="11" t="s">
        <v>127</v>
      </c>
      <c r="B5" s="13">
        <v>0.36499999999999994</v>
      </c>
    </row>
    <row r="6" spans="1:2" x14ac:dyDescent="0.25">
      <c r="A6" s="11" t="s">
        <v>128</v>
      </c>
      <c r="B6" s="13">
        <v>0.27333333333333337</v>
      </c>
    </row>
    <row r="7" spans="1:2" x14ac:dyDescent="0.25">
      <c r="A7" s="11" t="s">
        <v>129</v>
      </c>
      <c r="B7" s="13">
        <v>0.34</v>
      </c>
    </row>
    <row r="8" spans="1:2" x14ac:dyDescent="0.25">
      <c r="A8" s="11" t="s">
        <v>130</v>
      </c>
      <c r="B8" s="13">
        <v>0.42</v>
      </c>
    </row>
    <row r="9" spans="1:2" x14ac:dyDescent="0.25">
      <c r="A9" s="11" t="s">
        <v>131</v>
      </c>
      <c r="B9" s="13">
        <v>0.24</v>
      </c>
    </row>
    <row r="10" spans="1:2" x14ac:dyDescent="0.25">
      <c r="A10" s="11" t="s">
        <v>132</v>
      </c>
      <c r="B10" s="13">
        <v>0.49</v>
      </c>
    </row>
    <row r="11" spans="1:2" x14ac:dyDescent="0.25">
      <c r="A11" s="11" t="s">
        <v>120</v>
      </c>
      <c r="B11" s="13">
        <v>0.36385321100917428</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486D6-D6E6-409A-A4F6-E88BF114CCE7}">
  <dimension ref="A3:B14"/>
  <sheetViews>
    <sheetView workbookViewId="0">
      <selection activeCell="H10" sqref="H10"/>
    </sheetView>
  </sheetViews>
  <sheetFormatPr defaultRowHeight="15" x14ac:dyDescent="0.25"/>
  <cols>
    <col min="1" max="1" width="68.140625" bestFit="1" customWidth="1"/>
    <col min="2" max="2" width="15.42578125" bestFit="1" customWidth="1"/>
  </cols>
  <sheetData>
    <row r="3" spans="1:2" x14ac:dyDescent="0.25">
      <c r="A3" s="8" t="s">
        <v>116</v>
      </c>
      <c r="B3" t="s">
        <v>135</v>
      </c>
    </row>
    <row r="4" spans="1:2" x14ac:dyDescent="0.25">
      <c r="A4" s="9" t="s">
        <v>41</v>
      </c>
      <c r="B4" s="13">
        <v>0.38</v>
      </c>
    </row>
    <row r="5" spans="1:2" x14ac:dyDescent="0.25">
      <c r="A5" s="9" t="s">
        <v>14</v>
      </c>
      <c r="B5" s="13">
        <v>0.34</v>
      </c>
    </row>
    <row r="6" spans="1:2" x14ac:dyDescent="0.25">
      <c r="A6" s="9" t="s">
        <v>3</v>
      </c>
      <c r="B6" s="13">
        <v>0.38</v>
      </c>
    </row>
    <row r="7" spans="1:2" x14ac:dyDescent="0.25">
      <c r="A7" s="9" t="s">
        <v>30</v>
      </c>
      <c r="B7" s="13">
        <v>0.32</v>
      </c>
    </row>
    <row r="8" spans="1:2" x14ac:dyDescent="0.25">
      <c r="A8" s="9" t="s">
        <v>34</v>
      </c>
      <c r="B8" s="13">
        <v>0.34</v>
      </c>
    </row>
    <row r="9" spans="1:2" x14ac:dyDescent="0.25">
      <c r="A9" s="9" t="s">
        <v>64</v>
      </c>
      <c r="B9" s="13">
        <v>0.49</v>
      </c>
    </row>
    <row r="10" spans="1:2" x14ac:dyDescent="0.25">
      <c r="A10" s="9" t="s">
        <v>60</v>
      </c>
      <c r="B10" s="13">
        <v>0.27</v>
      </c>
    </row>
    <row r="11" spans="1:2" x14ac:dyDescent="0.25">
      <c r="A11" s="9" t="s">
        <v>12</v>
      </c>
      <c r="B11" s="13">
        <v>0.45</v>
      </c>
    </row>
    <row r="12" spans="1:2" x14ac:dyDescent="0.25">
      <c r="A12" s="9" t="s">
        <v>9</v>
      </c>
      <c r="B12" s="13">
        <v>0.24</v>
      </c>
    </row>
    <row r="13" spans="1:2" x14ac:dyDescent="0.25">
      <c r="A13" s="9" t="s">
        <v>104</v>
      </c>
      <c r="B13" s="13">
        <v>0.24</v>
      </c>
    </row>
    <row r="14" spans="1:2" x14ac:dyDescent="0.25">
      <c r="A14" s="9" t="s">
        <v>120</v>
      </c>
      <c r="B14" s="13">
        <v>0.49</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B6CDE-819C-46FB-8B00-9C47E0855089}">
  <dimension ref="A3:B14"/>
  <sheetViews>
    <sheetView workbookViewId="0">
      <selection activeCell="A3" sqref="A3"/>
    </sheetView>
  </sheetViews>
  <sheetFormatPr defaultRowHeight="15" x14ac:dyDescent="0.25"/>
  <cols>
    <col min="1" max="1" width="78.140625" bestFit="1" customWidth="1"/>
    <col min="2" max="2" width="14.28515625" bestFit="1" customWidth="1"/>
  </cols>
  <sheetData>
    <row r="3" spans="1:2" x14ac:dyDescent="0.25">
      <c r="A3" s="8" t="s">
        <v>116</v>
      </c>
      <c r="B3" t="s">
        <v>136</v>
      </c>
    </row>
    <row r="4" spans="1:2" x14ac:dyDescent="0.25">
      <c r="A4" s="9" t="s">
        <v>14</v>
      </c>
      <c r="B4" s="13">
        <v>39</v>
      </c>
    </row>
    <row r="5" spans="1:2" x14ac:dyDescent="0.25">
      <c r="A5" s="9" t="s">
        <v>64</v>
      </c>
      <c r="B5" s="13">
        <v>69</v>
      </c>
    </row>
    <row r="6" spans="1:2" x14ac:dyDescent="0.25">
      <c r="A6" s="9" t="s">
        <v>9</v>
      </c>
      <c r="B6" s="13">
        <v>55</v>
      </c>
    </row>
    <row r="7" spans="1:2" x14ac:dyDescent="0.25">
      <c r="A7" s="9" t="s">
        <v>8</v>
      </c>
      <c r="B7" s="13">
        <v>15</v>
      </c>
    </row>
    <row r="8" spans="1:2" x14ac:dyDescent="0.25">
      <c r="A8" s="9" t="s">
        <v>22</v>
      </c>
      <c r="B8" s="13">
        <v>44</v>
      </c>
    </row>
    <row r="9" spans="1:2" x14ac:dyDescent="0.25">
      <c r="A9" s="9" t="s">
        <v>28</v>
      </c>
      <c r="B9" s="13">
        <v>49</v>
      </c>
    </row>
    <row r="10" spans="1:2" x14ac:dyDescent="0.25">
      <c r="A10" s="9" t="s">
        <v>65</v>
      </c>
      <c r="B10" s="13">
        <v>15</v>
      </c>
    </row>
    <row r="11" spans="1:2" x14ac:dyDescent="0.25">
      <c r="A11" s="9" t="s">
        <v>5</v>
      </c>
      <c r="B11" s="13">
        <v>24</v>
      </c>
    </row>
    <row r="12" spans="1:2" x14ac:dyDescent="0.25">
      <c r="A12" s="9" t="s">
        <v>40</v>
      </c>
      <c r="B12" s="13">
        <v>36</v>
      </c>
    </row>
    <row r="13" spans="1:2" x14ac:dyDescent="0.25">
      <c r="A13" s="9" t="s">
        <v>66</v>
      </c>
      <c r="B13" s="13">
        <v>16</v>
      </c>
    </row>
    <row r="14" spans="1:2" x14ac:dyDescent="0.25">
      <c r="A14" s="9" t="s">
        <v>120</v>
      </c>
      <c r="B14" s="13">
        <v>69</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835DA-3ABB-46DB-9601-638A13A46FCC}">
  <dimension ref="A3:B9"/>
  <sheetViews>
    <sheetView workbookViewId="0">
      <selection activeCell="A3" sqref="A3"/>
    </sheetView>
  </sheetViews>
  <sheetFormatPr defaultRowHeight="15" x14ac:dyDescent="0.25"/>
  <cols>
    <col min="1" max="1" width="68.140625" bestFit="1" customWidth="1"/>
    <col min="2" max="2" width="14.42578125" bestFit="1" customWidth="1"/>
  </cols>
  <sheetData>
    <row r="3" spans="1:2" x14ac:dyDescent="0.25">
      <c r="A3" s="8" t="s">
        <v>116</v>
      </c>
      <c r="B3" t="s">
        <v>138</v>
      </c>
    </row>
    <row r="4" spans="1:2" x14ac:dyDescent="0.25">
      <c r="A4" s="9" t="s">
        <v>41</v>
      </c>
      <c r="B4" s="13">
        <v>4.5</v>
      </c>
    </row>
    <row r="5" spans="1:2" x14ac:dyDescent="0.25">
      <c r="A5" s="9" t="s">
        <v>14</v>
      </c>
      <c r="B5" s="13">
        <v>4.7</v>
      </c>
    </row>
    <row r="6" spans="1:2" x14ac:dyDescent="0.25">
      <c r="A6" s="9" t="s">
        <v>3</v>
      </c>
      <c r="B6" s="13">
        <v>4.5</v>
      </c>
    </row>
    <row r="7" spans="1:2" x14ac:dyDescent="0.25">
      <c r="A7" s="9" t="s">
        <v>30</v>
      </c>
      <c r="B7" s="13">
        <v>3.8</v>
      </c>
    </row>
    <row r="8" spans="1:2" x14ac:dyDescent="0.25">
      <c r="A8" s="9" t="s">
        <v>34</v>
      </c>
      <c r="B8" s="13">
        <v>4.7</v>
      </c>
    </row>
    <row r="9" spans="1:2" x14ac:dyDescent="0.25">
      <c r="A9" s="9" t="s">
        <v>120</v>
      </c>
      <c r="B9" s="13">
        <v>22.2</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D94FB-AB14-42BF-A283-E5188A00BC2C}">
  <dimension ref="A3:B24"/>
  <sheetViews>
    <sheetView workbookViewId="0">
      <selection activeCell="B4" sqref="B4"/>
    </sheetView>
  </sheetViews>
  <sheetFormatPr defaultRowHeight="15" x14ac:dyDescent="0.25"/>
  <cols>
    <col min="1" max="1" width="13.140625" bestFit="1" customWidth="1"/>
    <col min="2" max="2" width="14.42578125" bestFit="1" customWidth="1"/>
  </cols>
  <sheetData>
    <row r="3" spans="1:2" x14ac:dyDescent="0.25">
      <c r="A3" s="8" t="s">
        <v>116</v>
      </c>
      <c r="B3" t="s">
        <v>146</v>
      </c>
    </row>
    <row r="4" spans="1:2" x14ac:dyDescent="0.25">
      <c r="A4" s="11" t="s">
        <v>126</v>
      </c>
      <c r="B4" s="13">
        <v>127.9</v>
      </c>
    </row>
    <row r="5" spans="1:2" x14ac:dyDescent="0.25">
      <c r="A5" s="10" t="s">
        <v>123</v>
      </c>
      <c r="B5" s="13">
        <v>44.900000000000006</v>
      </c>
    </row>
    <row r="6" spans="1:2" x14ac:dyDescent="0.25">
      <c r="A6" s="10" t="s">
        <v>124</v>
      </c>
      <c r="B6" s="13">
        <v>67.400000000000006</v>
      </c>
    </row>
    <row r="7" spans="1:2" x14ac:dyDescent="0.25">
      <c r="A7" s="10" t="s">
        <v>125</v>
      </c>
      <c r="B7" s="13">
        <v>15.6</v>
      </c>
    </row>
    <row r="8" spans="1:2" x14ac:dyDescent="0.25">
      <c r="A8" s="11" t="s">
        <v>127</v>
      </c>
      <c r="B8" s="13">
        <v>50.3</v>
      </c>
    </row>
    <row r="9" spans="1:2" x14ac:dyDescent="0.25">
      <c r="A9" s="10" t="s">
        <v>123</v>
      </c>
      <c r="B9" s="13">
        <v>30.5</v>
      </c>
    </row>
    <row r="10" spans="1:2" x14ac:dyDescent="0.25">
      <c r="A10" s="10" t="s">
        <v>124</v>
      </c>
      <c r="B10" s="13">
        <v>9.5</v>
      </c>
    </row>
    <row r="11" spans="1:2" x14ac:dyDescent="0.25">
      <c r="A11" s="10" t="s">
        <v>125</v>
      </c>
      <c r="B11" s="13">
        <v>10.3</v>
      </c>
    </row>
    <row r="12" spans="1:2" x14ac:dyDescent="0.25">
      <c r="A12" s="11" t="s">
        <v>128</v>
      </c>
      <c r="B12" s="13">
        <v>13.4</v>
      </c>
    </row>
    <row r="13" spans="1:2" x14ac:dyDescent="0.25">
      <c r="A13" s="10" t="s">
        <v>123</v>
      </c>
      <c r="B13" s="13">
        <v>4.0999999999999996</v>
      </c>
    </row>
    <row r="14" spans="1:2" x14ac:dyDescent="0.25">
      <c r="A14" s="10" t="s">
        <v>124</v>
      </c>
      <c r="B14" s="13">
        <v>9.3000000000000007</v>
      </c>
    </row>
    <row r="15" spans="1:2" x14ac:dyDescent="0.25">
      <c r="A15" s="11" t="s">
        <v>129</v>
      </c>
      <c r="B15" s="13">
        <v>13.5</v>
      </c>
    </row>
    <row r="16" spans="1:2" x14ac:dyDescent="0.25">
      <c r="A16" s="10" t="s">
        <v>123</v>
      </c>
      <c r="B16" s="13">
        <v>4.3</v>
      </c>
    </row>
    <row r="17" spans="1:2" x14ac:dyDescent="0.25">
      <c r="A17" s="10" t="s">
        <v>124</v>
      </c>
      <c r="B17" s="13">
        <v>9.1999999999999993</v>
      </c>
    </row>
    <row r="18" spans="1:2" x14ac:dyDescent="0.25">
      <c r="A18" s="11" t="s">
        <v>130</v>
      </c>
      <c r="B18" s="13">
        <v>9.1999999999999993</v>
      </c>
    </row>
    <row r="19" spans="1:2" x14ac:dyDescent="0.25">
      <c r="A19" s="10" t="s">
        <v>124</v>
      </c>
      <c r="B19" s="13">
        <v>9.1999999999999993</v>
      </c>
    </row>
    <row r="20" spans="1:2" x14ac:dyDescent="0.25">
      <c r="A20" s="11" t="s">
        <v>131</v>
      </c>
      <c r="B20" s="13">
        <v>4.5999999999999996</v>
      </c>
    </row>
    <row r="21" spans="1:2" x14ac:dyDescent="0.25">
      <c r="A21" s="10" t="s">
        <v>124</v>
      </c>
      <c r="B21" s="13">
        <v>4.5999999999999996</v>
      </c>
    </row>
    <row r="22" spans="1:2" x14ac:dyDescent="0.25">
      <c r="A22" s="11" t="s">
        <v>132</v>
      </c>
      <c r="B22" s="13">
        <v>2.8</v>
      </c>
    </row>
    <row r="23" spans="1:2" x14ac:dyDescent="0.25">
      <c r="A23" s="10" t="s">
        <v>125</v>
      </c>
      <c r="B23" s="13">
        <v>2.8</v>
      </c>
    </row>
    <row r="24" spans="1:2" x14ac:dyDescent="0.25">
      <c r="A24" s="11" t="s">
        <v>120</v>
      </c>
      <c r="B24" s="13">
        <v>221.70000000000002</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E9853-10B6-493C-9721-0871F75170FC}">
  <dimension ref="A1:I116"/>
  <sheetViews>
    <sheetView workbookViewId="0">
      <pane ySplit="1" topLeftCell="A2" activePane="bottomLeft" state="frozen"/>
      <selection pane="bottomLeft"/>
    </sheetView>
  </sheetViews>
  <sheetFormatPr defaultRowHeight="15" x14ac:dyDescent="0.25"/>
  <cols>
    <col min="1" max="1" width="95.7109375" bestFit="1" customWidth="1"/>
    <col min="2" max="2" width="14.85546875" style="4" bestFit="1" customWidth="1"/>
    <col min="3" max="3" width="11" style="4" bestFit="1" customWidth="1"/>
    <col min="4" max="4" width="23.140625" style="4" bestFit="1" customWidth="1"/>
    <col min="5" max="5" width="11" style="1" bestFit="1" customWidth="1"/>
    <col min="6" max="6" width="19.140625" style="1" bestFit="1" customWidth="1"/>
    <col min="7" max="7" width="9.85546875" style="4" bestFit="1" customWidth="1"/>
    <col min="8" max="8" width="10" style="6" bestFit="1" customWidth="1"/>
    <col min="9" max="9" width="17.28515625" bestFit="1" customWidth="1"/>
    <col min="12" max="12" width="70.85546875" bestFit="1" customWidth="1"/>
  </cols>
  <sheetData>
    <row r="1" spans="1:9" s="2" customFormat="1" x14ac:dyDescent="0.25">
      <c r="A1" s="2" t="s">
        <v>0</v>
      </c>
      <c r="B1" s="3" t="s">
        <v>139</v>
      </c>
      <c r="C1" s="3" t="s">
        <v>140</v>
      </c>
      <c r="D1" s="3" t="s">
        <v>112</v>
      </c>
      <c r="E1" s="7" t="s">
        <v>1</v>
      </c>
      <c r="F1" s="7" t="s">
        <v>114</v>
      </c>
      <c r="G1" s="3" t="s">
        <v>2</v>
      </c>
      <c r="H1" s="5" t="s">
        <v>141</v>
      </c>
      <c r="I1" s="2" t="s">
        <v>113</v>
      </c>
    </row>
    <row r="2" spans="1:9" x14ac:dyDescent="0.25">
      <c r="A2" t="s">
        <v>3</v>
      </c>
      <c r="B2" s="4">
        <v>950</v>
      </c>
      <c r="C2" s="4">
        <v>1525</v>
      </c>
      <c r="D2" s="4">
        <f>C2 - B2</f>
        <v>575</v>
      </c>
      <c r="E2" s="1">
        <v>0.38</v>
      </c>
      <c r="F2" s="1" t="str">
        <f>IF(E2&gt;40%, "high", IF(E2&gt;= 20%,"medium", "low"))</f>
        <v>medium</v>
      </c>
      <c r="G2" s="4">
        <v>2</v>
      </c>
      <c r="H2" s="6">
        <v>4.5</v>
      </c>
      <c r="I2" t="str">
        <f>IF(H2 &gt;=4.5, "excellent", IF(H2 &gt;=3, "average", "poor"))</f>
        <v>excellent</v>
      </c>
    </row>
    <row r="3" spans="1:9" x14ac:dyDescent="0.25">
      <c r="A3" t="s">
        <v>4</v>
      </c>
      <c r="B3" s="4">
        <v>527</v>
      </c>
      <c r="C3" s="4">
        <v>999</v>
      </c>
      <c r="D3" s="4">
        <f t="shared" ref="D3:D66" si="0">C3 - B3</f>
        <v>472</v>
      </c>
      <c r="E3" s="1">
        <v>0.47</v>
      </c>
      <c r="F3" s="1" t="str">
        <f t="shared" ref="F3:F66" si="1">IF(E3&gt;40%, "high", IF(E3&gt;= 20%,"medium", "low"))</f>
        <v>high</v>
      </c>
      <c r="G3" s="4">
        <v>14</v>
      </c>
      <c r="H3" s="6">
        <v>4.0999999999999996</v>
      </c>
      <c r="I3" t="str">
        <f t="shared" ref="I3:I66" si="2">IF(H3 &gt;=4.5, "excellent", IF(H3 &gt;=3, "average", "poor"))</f>
        <v>average</v>
      </c>
    </row>
    <row r="4" spans="1:9" x14ac:dyDescent="0.25">
      <c r="A4" t="s">
        <v>5</v>
      </c>
      <c r="B4" s="4">
        <v>2199</v>
      </c>
      <c r="C4" s="4">
        <v>2923</v>
      </c>
      <c r="D4" s="4">
        <f t="shared" si="0"/>
        <v>724</v>
      </c>
      <c r="E4" s="1">
        <v>0.25</v>
      </c>
      <c r="F4" s="1" t="str">
        <f t="shared" si="1"/>
        <v>medium</v>
      </c>
      <c r="G4" s="4">
        <v>24</v>
      </c>
      <c r="H4" s="6">
        <v>4.5999999999999996</v>
      </c>
      <c r="I4" t="str">
        <f t="shared" si="2"/>
        <v>excellent</v>
      </c>
    </row>
    <row r="5" spans="1:9" x14ac:dyDescent="0.25">
      <c r="A5" t="s">
        <v>6</v>
      </c>
      <c r="B5" s="4">
        <v>1580</v>
      </c>
      <c r="C5" s="4">
        <v>2499</v>
      </c>
      <c r="D5" s="4">
        <f t="shared" si="0"/>
        <v>919</v>
      </c>
      <c r="E5" s="1">
        <v>0.37</v>
      </c>
      <c r="F5" s="1" t="str">
        <f t="shared" si="1"/>
        <v>medium</v>
      </c>
      <c r="G5" s="4">
        <v>7</v>
      </c>
      <c r="H5" s="6">
        <v>4.7</v>
      </c>
      <c r="I5" t="str">
        <f t="shared" si="2"/>
        <v>excellent</v>
      </c>
    </row>
    <row r="6" spans="1:9" x14ac:dyDescent="0.25">
      <c r="A6" t="s">
        <v>7</v>
      </c>
      <c r="B6" s="4">
        <v>1740</v>
      </c>
      <c r="C6" s="4">
        <v>2356</v>
      </c>
      <c r="D6" s="4">
        <f t="shared" si="0"/>
        <v>616</v>
      </c>
      <c r="E6" s="1">
        <v>0.26</v>
      </c>
      <c r="F6" s="1" t="str">
        <f t="shared" si="1"/>
        <v>medium</v>
      </c>
      <c r="G6" s="4">
        <v>5</v>
      </c>
      <c r="H6" s="6">
        <v>4.8</v>
      </c>
      <c r="I6" t="str">
        <f t="shared" si="2"/>
        <v>excellent</v>
      </c>
    </row>
    <row r="7" spans="1:9" x14ac:dyDescent="0.25">
      <c r="A7" t="s">
        <v>8</v>
      </c>
      <c r="B7" s="4">
        <v>2999</v>
      </c>
      <c r="C7" s="4">
        <v>3290</v>
      </c>
      <c r="D7" s="4">
        <f t="shared" si="0"/>
        <v>291</v>
      </c>
      <c r="E7" s="1">
        <v>0.09</v>
      </c>
      <c r="F7" s="1" t="str">
        <f t="shared" si="1"/>
        <v>low</v>
      </c>
      <c r="G7" s="4">
        <v>15</v>
      </c>
      <c r="H7" s="6">
        <v>4</v>
      </c>
      <c r="I7" t="str">
        <f t="shared" si="2"/>
        <v>average</v>
      </c>
    </row>
    <row r="8" spans="1:9" x14ac:dyDescent="0.25">
      <c r="A8" t="s">
        <v>9</v>
      </c>
      <c r="B8" s="4">
        <v>2319</v>
      </c>
      <c r="C8" s="4">
        <v>3032</v>
      </c>
      <c r="D8" s="4">
        <f t="shared" si="0"/>
        <v>713</v>
      </c>
      <c r="E8" s="1">
        <v>0.24</v>
      </c>
      <c r="F8" s="1" t="str">
        <f t="shared" si="1"/>
        <v>medium</v>
      </c>
      <c r="G8" s="4">
        <v>55</v>
      </c>
      <c r="H8" s="6">
        <v>4.5999999999999996</v>
      </c>
      <c r="I8" t="str">
        <f t="shared" si="2"/>
        <v>excellent</v>
      </c>
    </row>
    <row r="9" spans="1:9" x14ac:dyDescent="0.25">
      <c r="A9" t="s">
        <v>10</v>
      </c>
      <c r="B9" s="4">
        <v>988</v>
      </c>
      <c r="C9" s="4">
        <v>1580</v>
      </c>
      <c r="D9" s="4">
        <f t="shared" si="0"/>
        <v>592</v>
      </c>
      <c r="E9" s="1">
        <v>0.37</v>
      </c>
      <c r="F9" s="1" t="str">
        <f t="shared" si="1"/>
        <v>medium</v>
      </c>
      <c r="G9" s="4">
        <v>2</v>
      </c>
      <c r="H9" s="6">
        <v>4</v>
      </c>
      <c r="I9" t="str">
        <f t="shared" si="2"/>
        <v>average</v>
      </c>
    </row>
    <row r="10" spans="1:9" x14ac:dyDescent="0.25">
      <c r="A10" t="s">
        <v>11</v>
      </c>
      <c r="B10" s="4">
        <v>1274</v>
      </c>
      <c r="C10" s="4">
        <v>2800</v>
      </c>
      <c r="D10" s="4">
        <f t="shared" si="0"/>
        <v>1526</v>
      </c>
      <c r="E10" s="1">
        <v>0.55000000000000004</v>
      </c>
      <c r="F10" s="1" t="str">
        <f t="shared" si="1"/>
        <v>high</v>
      </c>
      <c r="G10" s="4">
        <v>5</v>
      </c>
      <c r="H10" s="6">
        <v>4.8</v>
      </c>
      <c r="I10" t="str">
        <f t="shared" si="2"/>
        <v>excellent</v>
      </c>
    </row>
    <row r="11" spans="1:9" x14ac:dyDescent="0.25">
      <c r="A11" t="s">
        <v>12</v>
      </c>
      <c r="B11" s="4">
        <v>1600</v>
      </c>
      <c r="C11" s="4">
        <v>2929</v>
      </c>
      <c r="D11" s="4">
        <f t="shared" si="0"/>
        <v>1329</v>
      </c>
      <c r="E11" s="1">
        <v>0.45</v>
      </c>
      <c r="F11" s="1" t="str">
        <f t="shared" si="1"/>
        <v>high</v>
      </c>
      <c r="G11" s="4">
        <v>5</v>
      </c>
      <c r="H11" s="6">
        <v>3.8</v>
      </c>
      <c r="I11" t="str">
        <f t="shared" si="2"/>
        <v>average</v>
      </c>
    </row>
    <row r="12" spans="1:9" x14ac:dyDescent="0.25">
      <c r="A12" t="s">
        <v>13</v>
      </c>
      <c r="B12" s="4">
        <v>799</v>
      </c>
      <c r="C12" s="4">
        <v>999</v>
      </c>
      <c r="D12" s="4">
        <f t="shared" si="0"/>
        <v>200</v>
      </c>
      <c r="E12" s="1">
        <v>0.2</v>
      </c>
      <c r="F12" s="1" t="str">
        <f t="shared" si="1"/>
        <v>medium</v>
      </c>
      <c r="G12" s="4">
        <v>12</v>
      </c>
      <c r="H12" s="6">
        <v>4.0999999999999996</v>
      </c>
      <c r="I12" t="str">
        <f t="shared" si="2"/>
        <v>average</v>
      </c>
    </row>
    <row r="13" spans="1:9" x14ac:dyDescent="0.25">
      <c r="A13" t="s">
        <v>14</v>
      </c>
      <c r="B13" s="4">
        <v>990</v>
      </c>
      <c r="C13" s="4">
        <v>1500</v>
      </c>
      <c r="D13" s="4">
        <f t="shared" si="0"/>
        <v>510</v>
      </c>
      <c r="E13" s="1">
        <v>0.34</v>
      </c>
      <c r="F13" s="1" t="str">
        <f t="shared" si="1"/>
        <v>medium</v>
      </c>
      <c r="G13" s="4">
        <v>39</v>
      </c>
      <c r="H13" s="6">
        <v>4.7</v>
      </c>
      <c r="I13" t="str">
        <f t="shared" si="2"/>
        <v>excellent</v>
      </c>
    </row>
    <row r="14" spans="1:9" x14ac:dyDescent="0.25">
      <c r="A14" t="s">
        <v>15</v>
      </c>
      <c r="B14" s="4">
        <v>552</v>
      </c>
      <c r="C14" s="4">
        <v>1035</v>
      </c>
      <c r="D14" s="4">
        <f t="shared" si="0"/>
        <v>483</v>
      </c>
      <c r="E14" s="1">
        <v>0.47</v>
      </c>
      <c r="F14" s="1" t="str">
        <f t="shared" si="1"/>
        <v>high</v>
      </c>
      <c r="G14" s="4">
        <v>12</v>
      </c>
      <c r="H14" s="6">
        <v>4.8</v>
      </c>
      <c r="I14" t="str">
        <f t="shared" si="2"/>
        <v>excellent</v>
      </c>
    </row>
    <row r="15" spans="1:9" x14ac:dyDescent="0.25">
      <c r="A15" t="s">
        <v>16</v>
      </c>
      <c r="B15" s="4">
        <v>501</v>
      </c>
      <c r="C15" s="4">
        <v>860</v>
      </c>
      <c r="D15" s="4">
        <f t="shared" si="0"/>
        <v>359</v>
      </c>
      <c r="E15" s="1">
        <v>0.42</v>
      </c>
      <c r="F15" s="1" t="str">
        <f t="shared" si="1"/>
        <v>high</v>
      </c>
      <c r="G15" s="4">
        <v>6</v>
      </c>
      <c r="H15" s="6">
        <v>4.5</v>
      </c>
      <c r="I15" t="str">
        <f t="shared" si="2"/>
        <v>excellent</v>
      </c>
    </row>
    <row r="16" spans="1:9" x14ac:dyDescent="0.25">
      <c r="A16" t="s">
        <v>17</v>
      </c>
      <c r="B16" s="4">
        <v>1680</v>
      </c>
      <c r="C16" s="4">
        <v>2499</v>
      </c>
      <c r="D16" s="4">
        <f t="shared" si="0"/>
        <v>819</v>
      </c>
      <c r="E16" s="1">
        <v>0.33</v>
      </c>
      <c r="F16" s="1" t="str">
        <f t="shared" si="1"/>
        <v>medium</v>
      </c>
      <c r="G16" s="4">
        <v>9</v>
      </c>
      <c r="H16" s="6">
        <v>4.2</v>
      </c>
      <c r="I16" t="str">
        <f t="shared" si="2"/>
        <v>average</v>
      </c>
    </row>
    <row r="17" spans="1:9" x14ac:dyDescent="0.25">
      <c r="A17" t="s">
        <v>18</v>
      </c>
      <c r="B17" s="4">
        <v>332</v>
      </c>
      <c r="C17" s="4">
        <v>684</v>
      </c>
      <c r="D17" s="4">
        <f t="shared" si="0"/>
        <v>352</v>
      </c>
      <c r="E17" s="1">
        <v>0.51</v>
      </c>
      <c r="F17" s="1" t="str">
        <f t="shared" si="1"/>
        <v>high</v>
      </c>
      <c r="G17" s="4">
        <v>2</v>
      </c>
      <c r="H17" s="6">
        <v>5</v>
      </c>
      <c r="I17" t="str">
        <f t="shared" si="2"/>
        <v>excellent</v>
      </c>
    </row>
    <row r="18" spans="1:9" x14ac:dyDescent="0.25">
      <c r="A18" t="s">
        <v>19</v>
      </c>
      <c r="B18" s="4">
        <v>195</v>
      </c>
      <c r="C18" s="4">
        <v>360</v>
      </c>
      <c r="D18" s="4">
        <f t="shared" si="0"/>
        <v>165</v>
      </c>
      <c r="E18" s="1">
        <v>0.46</v>
      </c>
      <c r="F18" s="1" t="str">
        <f t="shared" si="1"/>
        <v>high</v>
      </c>
      <c r="G18" s="4">
        <v>2</v>
      </c>
      <c r="H18" s="6">
        <v>5</v>
      </c>
      <c r="I18" t="str">
        <f t="shared" si="2"/>
        <v>excellent</v>
      </c>
    </row>
    <row r="19" spans="1:9" x14ac:dyDescent="0.25">
      <c r="A19" t="s">
        <v>20</v>
      </c>
      <c r="B19" s="4">
        <v>2025</v>
      </c>
      <c r="C19" s="4">
        <v>3971</v>
      </c>
      <c r="D19" s="4">
        <f t="shared" si="0"/>
        <v>1946</v>
      </c>
      <c r="E19" s="1">
        <v>0.49</v>
      </c>
      <c r="F19" s="1" t="str">
        <f t="shared" si="1"/>
        <v>high</v>
      </c>
      <c r="G19" s="4">
        <v>3</v>
      </c>
      <c r="H19" s="6">
        <v>5</v>
      </c>
      <c r="I19" t="str">
        <f t="shared" si="2"/>
        <v>excellent</v>
      </c>
    </row>
    <row r="20" spans="1:9" x14ac:dyDescent="0.25">
      <c r="A20" t="s">
        <v>21</v>
      </c>
      <c r="B20" s="4">
        <v>2999</v>
      </c>
      <c r="C20" s="4">
        <v>3699</v>
      </c>
      <c r="D20" s="4">
        <f t="shared" si="0"/>
        <v>700</v>
      </c>
      <c r="E20" s="1">
        <v>0.19</v>
      </c>
      <c r="F20" s="1" t="str">
        <f t="shared" si="1"/>
        <v>low</v>
      </c>
      <c r="G20" s="4">
        <v>5</v>
      </c>
      <c r="H20" s="6">
        <v>4.5999999999999996</v>
      </c>
      <c r="I20" t="str">
        <f t="shared" si="2"/>
        <v>excellent</v>
      </c>
    </row>
    <row r="21" spans="1:9" x14ac:dyDescent="0.25">
      <c r="A21" t="s">
        <v>22</v>
      </c>
      <c r="B21" s="4">
        <v>998</v>
      </c>
      <c r="C21" s="4">
        <v>1966</v>
      </c>
      <c r="D21" s="4">
        <f t="shared" si="0"/>
        <v>968</v>
      </c>
      <c r="E21" s="1">
        <v>0.49</v>
      </c>
      <c r="F21" s="1" t="str">
        <f t="shared" si="1"/>
        <v>high</v>
      </c>
      <c r="G21" s="4">
        <v>44</v>
      </c>
      <c r="H21" s="6">
        <v>4.5999999999999996</v>
      </c>
      <c r="I21" t="str">
        <f t="shared" si="2"/>
        <v>excellent</v>
      </c>
    </row>
    <row r="22" spans="1:9" x14ac:dyDescent="0.25">
      <c r="A22" t="s">
        <v>23</v>
      </c>
      <c r="B22" s="4">
        <v>38</v>
      </c>
      <c r="C22" s="4">
        <v>80</v>
      </c>
      <c r="D22" s="4">
        <f t="shared" si="0"/>
        <v>42</v>
      </c>
      <c r="E22" s="1">
        <v>0.53</v>
      </c>
      <c r="F22" s="1" t="str">
        <f t="shared" si="1"/>
        <v>high</v>
      </c>
      <c r="G22" s="4">
        <v>13</v>
      </c>
      <c r="H22" s="6">
        <v>3.3</v>
      </c>
      <c r="I22" t="str">
        <f t="shared" si="2"/>
        <v>average</v>
      </c>
    </row>
    <row r="23" spans="1:9" x14ac:dyDescent="0.25">
      <c r="A23" t="s">
        <v>24</v>
      </c>
      <c r="B23" s="4">
        <v>1860</v>
      </c>
      <c r="C23" s="4">
        <v>3220</v>
      </c>
      <c r="D23" s="4">
        <f t="shared" si="0"/>
        <v>1360</v>
      </c>
      <c r="E23" s="1">
        <v>0.42</v>
      </c>
      <c r="F23" s="1" t="str">
        <f t="shared" si="1"/>
        <v>high</v>
      </c>
      <c r="G23" s="4">
        <v>0</v>
      </c>
      <c r="H23" s="6">
        <v>0</v>
      </c>
      <c r="I23" t="str">
        <f t="shared" si="2"/>
        <v>poor</v>
      </c>
    </row>
    <row r="24" spans="1:9" x14ac:dyDescent="0.25">
      <c r="A24" t="s">
        <v>25</v>
      </c>
      <c r="B24" s="4">
        <v>880</v>
      </c>
      <c r="C24" s="4">
        <v>1350</v>
      </c>
      <c r="D24" s="4">
        <f t="shared" si="0"/>
        <v>470</v>
      </c>
      <c r="E24" s="1">
        <v>0.35</v>
      </c>
      <c r="F24" s="1" t="str">
        <f t="shared" si="1"/>
        <v>medium</v>
      </c>
      <c r="G24" s="4">
        <v>6</v>
      </c>
      <c r="H24" s="6">
        <v>4</v>
      </c>
      <c r="I24" t="str">
        <f t="shared" si="2"/>
        <v>average</v>
      </c>
    </row>
    <row r="25" spans="1:9" x14ac:dyDescent="0.25">
      <c r="A25" t="s">
        <v>26</v>
      </c>
      <c r="B25" s="4">
        <v>1650</v>
      </c>
      <c r="C25" s="4">
        <v>2150</v>
      </c>
      <c r="D25" s="4">
        <f t="shared" si="0"/>
        <v>500</v>
      </c>
      <c r="E25" s="1">
        <v>0.23</v>
      </c>
      <c r="F25" s="1" t="str">
        <f t="shared" si="1"/>
        <v>medium</v>
      </c>
      <c r="G25" s="4">
        <v>14</v>
      </c>
      <c r="H25" s="6">
        <v>4.4000000000000004</v>
      </c>
      <c r="I25" t="str">
        <f t="shared" si="2"/>
        <v>average</v>
      </c>
    </row>
    <row r="26" spans="1:9" x14ac:dyDescent="0.25">
      <c r="A26" t="s">
        <v>27</v>
      </c>
      <c r="B26" s="4">
        <v>2048</v>
      </c>
      <c r="C26" s="4">
        <v>4500</v>
      </c>
      <c r="D26" s="4">
        <f t="shared" si="0"/>
        <v>2452</v>
      </c>
      <c r="E26" s="1">
        <v>0.54</v>
      </c>
      <c r="F26" s="1" t="str">
        <f t="shared" si="1"/>
        <v>high</v>
      </c>
      <c r="G26" s="4">
        <v>7</v>
      </c>
      <c r="H26" s="6">
        <v>4.3</v>
      </c>
      <c r="I26" t="str">
        <f t="shared" si="2"/>
        <v>average</v>
      </c>
    </row>
    <row r="27" spans="1:9" x14ac:dyDescent="0.25">
      <c r="A27" t="s">
        <v>28</v>
      </c>
      <c r="B27" s="4">
        <v>420</v>
      </c>
      <c r="C27" s="4">
        <v>647</v>
      </c>
      <c r="D27" s="4">
        <f t="shared" si="0"/>
        <v>227</v>
      </c>
      <c r="E27" s="1">
        <v>0.35</v>
      </c>
      <c r="F27" s="1" t="str">
        <f t="shared" si="1"/>
        <v>medium</v>
      </c>
      <c r="G27" s="4">
        <v>49</v>
      </c>
      <c r="H27" s="6">
        <v>4.5999999999999996</v>
      </c>
      <c r="I27" t="str">
        <f t="shared" si="2"/>
        <v>excellent</v>
      </c>
    </row>
    <row r="28" spans="1:9" x14ac:dyDescent="0.25">
      <c r="A28" t="s">
        <v>29</v>
      </c>
      <c r="B28" s="4">
        <v>2880</v>
      </c>
      <c r="C28" s="4">
        <v>3520</v>
      </c>
      <c r="D28" s="4">
        <f t="shared" si="0"/>
        <v>640</v>
      </c>
      <c r="E28" s="1">
        <v>0.18</v>
      </c>
      <c r="F28" s="1" t="str">
        <f t="shared" si="1"/>
        <v>low</v>
      </c>
      <c r="G28" s="4">
        <v>12</v>
      </c>
      <c r="H28" s="6">
        <v>3.8</v>
      </c>
      <c r="I28" t="str">
        <f t="shared" si="2"/>
        <v>average</v>
      </c>
    </row>
    <row r="29" spans="1:9" x14ac:dyDescent="0.25">
      <c r="A29" t="s">
        <v>30</v>
      </c>
      <c r="B29" s="4">
        <v>1350</v>
      </c>
      <c r="C29" s="4">
        <v>1990</v>
      </c>
      <c r="D29" s="4">
        <f t="shared" si="0"/>
        <v>640</v>
      </c>
      <c r="E29" s="1">
        <v>0.32</v>
      </c>
      <c r="F29" s="1" t="str">
        <f t="shared" si="1"/>
        <v>medium</v>
      </c>
      <c r="G29" s="4">
        <v>13</v>
      </c>
      <c r="H29" s="6">
        <v>3.8</v>
      </c>
      <c r="I29" t="str">
        <f t="shared" si="2"/>
        <v>average</v>
      </c>
    </row>
    <row r="30" spans="1:9" x14ac:dyDescent="0.25">
      <c r="A30" t="s">
        <v>31</v>
      </c>
      <c r="B30" s="4">
        <v>1758</v>
      </c>
      <c r="C30" s="4">
        <v>2499</v>
      </c>
      <c r="D30" s="4">
        <f t="shared" si="0"/>
        <v>741</v>
      </c>
      <c r="E30" s="1">
        <v>0.3</v>
      </c>
      <c r="F30" s="1" t="str">
        <f t="shared" si="1"/>
        <v>medium</v>
      </c>
      <c r="G30" s="4">
        <v>20</v>
      </c>
      <c r="H30" s="6">
        <v>4.0999999999999996</v>
      </c>
      <c r="I30" t="str">
        <f t="shared" si="2"/>
        <v>average</v>
      </c>
    </row>
    <row r="31" spans="1:9" x14ac:dyDescent="0.25">
      <c r="A31" t="s">
        <v>32</v>
      </c>
      <c r="B31" s="4">
        <v>2200</v>
      </c>
      <c r="C31" s="4">
        <v>4080</v>
      </c>
      <c r="D31" s="4">
        <f t="shared" si="0"/>
        <v>1880</v>
      </c>
      <c r="E31" s="1">
        <v>0.46</v>
      </c>
      <c r="F31" s="1" t="str">
        <f t="shared" si="1"/>
        <v>high</v>
      </c>
      <c r="G31" s="4">
        <v>0</v>
      </c>
      <c r="H31" s="6">
        <v>0</v>
      </c>
      <c r="I31" t="str">
        <f t="shared" si="2"/>
        <v>poor</v>
      </c>
    </row>
    <row r="32" spans="1:9" x14ac:dyDescent="0.25">
      <c r="A32" t="s">
        <v>33</v>
      </c>
      <c r="B32" s="4">
        <v>185</v>
      </c>
      <c r="C32" s="4">
        <v>382</v>
      </c>
      <c r="D32" s="4">
        <f t="shared" si="0"/>
        <v>197</v>
      </c>
      <c r="E32" s="1">
        <v>0.52</v>
      </c>
      <c r="F32" s="1" t="str">
        <f t="shared" si="1"/>
        <v>high</v>
      </c>
      <c r="G32" s="4">
        <v>9</v>
      </c>
      <c r="H32" s="6">
        <v>4.3</v>
      </c>
      <c r="I32" t="str">
        <f t="shared" si="2"/>
        <v>average</v>
      </c>
    </row>
    <row r="33" spans="1:9" x14ac:dyDescent="0.25">
      <c r="A33" t="s">
        <v>34</v>
      </c>
      <c r="B33" s="4">
        <v>980</v>
      </c>
      <c r="C33" s="4">
        <v>1490</v>
      </c>
      <c r="D33" s="4">
        <f t="shared" si="0"/>
        <v>510</v>
      </c>
      <c r="E33" s="1">
        <v>0.34</v>
      </c>
      <c r="F33" s="1" t="str">
        <f t="shared" si="1"/>
        <v>medium</v>
      </c>
      <c r="G33" s="4">
        <v>12</v>
      </c>
      <c r="H33" s="6">
        <v>4.7</v>
      </c>
      <c r="I33" t="str">
        <f t="shared" si="2"/>
        <v>excellent</v>
      </c>
    </row>
    <row r="34" spans="1:9" x14ac:dyDescent="0.25">
      <c r="A34" t="s">
        <v>35</v>
      </c>
      <c r="B34" s="4">
        <v>1820</v>
      </c>
      <c r="C34" s="4">
        <v>3490</v>
      </c>
      <c r="D34" s="4">
        <f t="shared" si="0"/>
        <v>1670</v>
      </c>
      <c r="E34" s="1">
        <v>0.48</v>
      </c>
      <c r="F34" s="1" t="str">
        <f t="shared" si="1"/>
        <v>high</v>
      </c>
      <c r="G34" s="4">
        <v>9</v>
      </c>
      <c r="H34" s="6">
        <v>4.3</v>
      </c>
      <c r="I34" t="str">
        <f t="shared" si="2"/>
        <v>average</v>
      </c>
    </row>
    <row r="35" spans="1:9" x14ac:dyDescent="0.25">
      <c r="A35" t="s">
        <v>36</v>
      </c>
      <c r="B35" s="4">
        <v>1940</v>
      </c>
      <c r="C35" s="4">
        <v>2650</v>
      </c>
      <c r="D35" s="4">
        <f t="shared" si="0"/>
        <v>710</v>
      </c>
      <c r="E35" s="1">
        <v>0.27</v>
      </c>
      <c r="F35" s="1" t="str">
        <f t="shared" si="1"/>
        <v>medium</v>
      </c>
      <c r="G35" s="4">
        <v>20</v>
      </c>
      <c r="H35" s="6">
        <v>4.7</v>
      </c>
      <c r="I35" t="str">
        <f t="shared" si="2"/>
        <v>excellent</v>
      </c>
    </row>
    <row r="36" spans="1:9" x14ac:dyDescent="0.25">
      <c r="A36" t="s">
        <v>37</v>
      </c>
      <c r="B36" s="4">
        <v>1980</v>
      </c>
      <c r="C36" s="4">
        <v>2699</v>
      </c>
      <c r="D36" s="4">
        <f t="shared" si="0"/>
        <v>719</v>
      </c>
      <c r="E36" s="1">
        <v>0.27</v>
      </c>
      <c r="F36" s="1" t="str">
        <f t="shared" si="1"/>
        <v>medium</v>
      </c>
      <c r="G36" s="4">
        <v>32</v>
      </c>
      <c r="H36" s="6">
        <v>4.5</v>
      </c>
      <c r="I36" t="str">
        <f t="shared" si="2"/>
        <v>excellent</v>
      </c>
    </row>
    <row r="37" spans="1:9" x14ac:dyDescent="0.25">
      <c r="A37" t="s">
        <v>38</v>
      </c>
      <c r="B37" s="4">
        <v>1620</v>
      </c>
      <c r="C37" s="4">
        <v>2690</v>
      </c>
      <c r="D37" s="4">
        <f t="shared" si="0"/>
        <v>1070</v>
      </c>
      <c r="E37" s="1">
        <v>0.4</v>
      </c>
      <c r="F37" s="1" t="str">
        <f t="shared" si="1"/>
        <v>medium</v>
      </c>
      <c r="G37" s="4">
        <v>1</v>
      </c>
      <c r="H37" s="6">
        <v>5</v>
      </c>
      <c r="I37" t="str">
        <f t="shared" si="2"/>
        <v>excellent</v>
      </c>
    </row>
    <row r="38" spans="1:9" x14ac:dyDescent="0.25">
      <c r="A38" t="s">
        <v>39</v>
      </c>
      <c r="B38" s="4">
        <v>171</v>
      </c>
      <c r="C38" s="4">
        <v>360</v>
      </c>
      <c r="D38" s="4">
        <f t="shared" si="0"/>
        <v>189</v>
      </c>
      <c r="E38" s="1">
        <v>0.53</v>
      </c>
      <c r="F38" s="1" t="str">
        <f t="shared" si="1"/>
        <v>high</v>
      </c>
      <c r="G38" s="4">
        <v>2</v>
      </c>
      <c r="H38" s="6">
        <v>5</v>
      </c>
      <c r="I38" t="str">
        <f t="shared" si="2"/>
        <v>excellent</v>
      </c>
    </row>
    <row r="39" spans="1:9" x14ac:dyDescent="0.25">
      <c r="A39" t="s">
        <v>40</v>
      </c>
      <c r="B39" s="4">
        <v>389</v>
      </c>
      <c r="C39" s="4">
        <v>656</v>
      </c>
      <c r="D39" s="4">
        <f t="shared" si="0"/>
        <v>267</v>
      </c>
      <c r="E39" s="1">
        <v>0.41</v>
      </c>
      <c r="F39" s="1" t="str">
        <f t="shared" si="1"/>
        <v>high</v>
      </c>
      <c r="G39" s="4">
        <v>36</v>
      </c>
      <c r="H39" s="6">
        <v>4.3</v>
      </c>
      <c r="I39" t="str">
        <f t="shared" si="2"/>
        <v>average</v>
      </c>
    </row>
    <row r="40" spans="1:9" x14ac:dyDescent="0.25">
      <c r="A40" t="s">
        <v>41</v>
      </c>
      <c r="B40" s="4">
        <v>1980</v>
      </c>
      <c r="C40" s="4">
        <v>3200</v>
      </c>
      <c r="D40" s="4">
        <f t="shared" si="0"/>
        <v>1220</v>
      </c>
      <c r="E40" s="1">
        <v>0.38</v>
      </c>
      <c r="F40" s="1" t="str">
        <f t="shared" si="1"/>
        <v>medium</v>
      </c>
      <c r="G40" s="4">
        <v>2</v>
      </c>
      <c r="H40" s="6">
        <v>4.5</v>
      </c>
      <c r="I40" t="str">
        <f t="shared" si="2"/>
        <v>excellent</v>
      </c>
    </row>
    <row r="41" spans="1:9" x14ac:dyDescent="0.25">
      <c r="A41" t="s">
        <v>42</v>
      </c>
      <c r="B41" s="4">
        <v>2750</v>
      </c>
      <c r="C41" s="4">
        <v>4471</v>
      </c>
      <c r="D41" s="4">
        <f t="shared" si="0"/>
        <v>1721</v>
      </c>
      <c r="E41" s="1">
        <v>0.38</v>
      </c>
      <c r="F41" s="1" t="str">
        <f t="shared" si="1"/>
        <v>medium</v>
      </c>
      <c r="G41" s="4">
        <v>0</v>
      </c>
      <c r="H41" s="6">
        <v>0</v>
      </c>
      <c r="I41" t="str">
        <f t="shared" si="2"/>
        <v>poor</v>
      </c>
    </row>
    <row r="42" spans="1:9" x14ac:dyDescent="0.25">
      <c r="A42" t="s">
        <v>43</v>
      </c>
      <c r="B42" s="4">
        <v>475</v>
      </c>
      <c r="C42" s="4">
        <v>931</v>
      </c>
      <c r="D42" s="4">
        <f t="shared" si="0"/>
        <v>456</v>
      </c>
      <c r="E42" s="1">
        <v>0.49</v>
      </c>
      <c r="F42" s="1" t="str">
        <f t="shared" si="1"/>
        <v>high</v>
      </c>
      <c r="G42" s="4">
        <v>0</v>
      </c>
      <c r="H42" s="6">
        <v>0</v>
      </c>
      <c r="I42" t="str">
        <f t="shared" si="2"/>
        <v>poor</v>
      </c>
    </row>
    <row r="43" spans="1:9" x14ac:dyDescent="0.25">
      <c r="A43" t="s">
        <v>44</v>
      </c>
      <c r="B43" s="4">
        <v>238</v>
      </c>
      <c r="C43" s="4">
        <v>476</v>
      </c>
      <c r="D43" s="4">
        <f t="shared" si="0"/>
        <v>238</v>
      </c>
      <c r="E43" s="1">
        <v>0.5</v>
      </c>
      <c r="F43" s="1" t="str">
        <f t="shared" si="1"/>
        <v>high</v>
      </c>
      <c r="G43" s="4">
        <v>0</v>
      </c>
      <c r="H43" s="6">
        <v>0</v>
      </c>
      <c r="I43" t="str">
        <f t="shared" si="2"/>
        <v>poor</v>
      </c>
    </row>
    <row r="44" spans="1:9" x14ac:dyDescent="0.25">
      <c r="A44" t="s">
        <v>45</v>
      </c>
      <c r="B44" s="4">
        <v>610</v>
      </c>
      <c r="C44" s="4">
        <v>1060</v>
      </c>
      <c r="D44" s="4">
        <f t="shared" si="0"/>
        <v>450</v>
      </c>
      <c r="E44" s="1">
        <v>0.42</v>
      </c>
      <c r="F44" s="1" t="str">
        <f t="shared" si="1"/>
        <v>high</v>
      </c>
      <c r="G44" s="4">
        <v>0</v>
      </c>
      <c r="H44" s="6">
        <v>0</v>
      </c>
      <c r="I44" t="str">
        <f t="shared" si="2"/>
        <v>poor</v>
      </c>
    </row>
    <row r="45" spans="1:9" x14ac:dyDescent="0.25">
      <c r="A45" t="s">
        <v>46</v>
      </c>
      <c r="B45" s="4">
        <v>2132</v>
      </c>
      <c r="C45" s="4">
        <v>2169</v>
      </c>
      <c r="D45" s="4">
        <f t="shared" si="0"/>
        <v>37</v>
      </c>
      <c r="E45" s="1">
        <v>0.02</v>
      </c>
      <c r="F45" s="1" t="str">
        <f t="shared" si="1"/>
        <v>low</v>
      </c>
      <c r="G45" s="4">
        <v>0</v>
      </c>
      <c r="H45" s="6">
        <v>0</v>
      </c>
      <c r="I45" t="str">
        <f t="shared" si="2"/>
        <v>poor</v>
      </c>
    </row>
    <row r="46" spans="1:9" x14ac:dyDescent="0.25">
      <c r="A46" t="s">
        <v>47</v>
      </c>
      <c r="B46" s="4">
        <v>999</v>
      </c>
      <c r="C46" s="4">
        <v>2000</v>
      </c>
      <c r="D46" s="4">
        <f t="shared" si="0"/>
        <v>1001</v>
      </c>
      <c r="E46" s="1">
        <v>0.5</v>
      </c>
      <c r="F46" s="1" t="str">
        <f t="shared" si="1"/>
        <v>high</v>
      </c>
      <c r="G46" s="4">
        <v>0</v>
      </c>
      <c r="H46" s="6">
        <v>0</v>
      </c>
      <c r="I46" t="str">
        <f t="shared" si="2"/>
        <v>poor</v>
      </c>
    </row>
    <row r="47" spans="1:9" x14ac:dyDescent="0.25">
      <c r="A47" t="s">
        <v>48</v>
      </c>
      <c r="B47" s="4">
        <v>1190</v>
      </c>
      <c r="C47" s="4">
        <v>1785</v>
      </c>
      <c r="D47" s="4">
        <f t="shared" si="0"/>
        <v>595</v>
      </c>
      <c r="E47" s="1">
        <v>0.33</v>
      </c>
      <c r="F47" s="1" t="str">
        <f t="shared" si="1"/>
        <v>medium</v>
      </c>
      <c r="G47" s="4">
        <v>0</v>
      </c>
      <c r="H47" s="6">
        <v>0</v>
      </c>
      <c r="I47" t="str">
        <f t="shared" si="2"/>
        <v>poor</v>
      </c>
    </row>
    <row r="48" spans="1:9" x14ac:dyDescent="0.25">
      <c r="A48" t="s">
        <v>49</v>
      </c>
      <c r="B48" s="4">
        <v>671</v>
      </c>
      <c r="C48" s="4">
        <v>1316</v>
      </c>
      <c r="D48" s="4">
        <f t="shared" si="0"/>
        <v>645</v>
      </c>
      <c r="E48" s="1">
        <v>0.49</v>
      </c>
      <c r="F48" s="1" t="str">
        <f t="shared" si="1"/>
        <v>high</v>
      </c>
      <c r="G48" s="4">
        <v>0</v>
      </c>
      <c r="H48" s="6">
        <v>0</v>
      </c>
      <c r="I48" t="str">
        <f t="shared" si="2"/>
        <v>poor</v>
      </c>
    </row>
    <row r="49" spans="1:9" x14ac:dyDescent="0.25">
      <c r="A49" t="s">
        <v>50</v>
      </c>
      <c r="B49" s="4">
        <v>1200</v>
      </c>
      <c r="C49" s="4">
        <v>1950</v>
      </c>
      <c r="D49" s="4">
        <f t="shared" si="0"/>
        <v>750</v>
      </c>
      <c r="E49" s="1">
        <v>0.38</v>
      </c>
      <c r="F49" s="1" t="str">
        <f t="shared" si="1"/>
        <v>medium</v>
      </c>
      <c r="G49" s="4">
        <v>0</v>
      </c>
      <c r="H49" s="6">
        <v>0</v>
      </c>
      <c r="I49" t="str">
        <f t="shared" si="2"/>
        <v>poor</v>
      </c>
    </row>
    <row r="50" spans="1:9" x14ac:dyDescent="0.25">
      <c r="A50" t="s">
        <v>51</v>
      </c>
      <c r="B50" s="4">
        <v>199</v>
      </c>
      <c r="C50" s="4">
        <v>504</v>
      </c>
      <c r="D50" s="4">
        <f t="shared" si="0"/>
        <v>305</v>
      </c>
      <c r="E50" s="1">
        <v>0.61</v>
      </c>
      <c r="F50" s="1" t="str">
        <f t="shared" si="1"/>
        <v>high</v>
      </c>
      <c r="G50" s="4">
        <v>0</v>
      </c>
      <c r="H50" s="6">
        <v>0</v>
      </c>
      <c r="I50" t="str">
        <f t="shared" si="2"/>
        <v>poor</v>
      </c>
    </row>
    <row r="51" spans="1:9" x14ac:dyDescent="0.25">
      <c r="A51" t="s">
        <v>52</v>
      </c>
      <c r="B51" s="4">
        <v>299</v>
      </c>
      <c r="C51" s="4">
        <v>600</v>
      </c>
      <c r="D51" s="4">
        <f t="shared" si="0"/>
        <v>301</v>
      </c>
      <c r="E51" s="1">
        <v>0.5</v>
      </c>
      <c r="F51" s="1" t="str">
        <f t="shared" si="1"/>
        <v>high</v>
      </c>
      <c r="G51" s="4">
        <v>0</v>
      </c>
      <c r="H51" s="6">
        <v>0</v>
      </c>
      <c r="I51" t="str">
        <f t="shared" si="2"/>
        <v>poor</v>
      </c>
    </row>
    <row r="52" spans="1:9" x14ac:dyDescent="0.25">
      <c r="A52" t="s">
        <v>53</v>
      </c>
      <c r="B52" s="4">
        <v>1660</v>
      </c>
      <c r="C52" s="4">
        <v>1699</v>
      </c>
      <c r="D52" s="4">
        <f t="shared" si="0"/>
        <v>39</v>
      </c>
      <c r="E52" s="1">
        <v>0.02</v>
      </c>
      <c r="F52" s="1" t="str">
        <f t="shared" si="1"/>
        <v>low</v>
      </c>
      <c r="G52" s="4">
        <v>0</v>
      </c>
      <c r="H52" s="6">
        <v>0</v>
      </c>
      <c r="I52" t="str">
        <f t="shared" si="2"/>
        <v>poor</v>
      </c>
    </row>
    <row r="53" spans="1:9" x14ac:dyDescent="0.25">
      <c r="A53" t="s">
        <v>54</v>
      </c>
      <c r="B53" s="4">
        <v>299</v>
      </c>
      <c r="C53" s="4">
        <v>384</v>
      </c>
      <c r="D53" s="4">
        <f t="shared" si="0"/>
        <v>85</v>
      </c>
      <c r="E53" s="1">
        <v>0.22</v>
      </c>
      <c r="F53" s="1" t="str">
        <f t="shared" si="1"/>
        <v>medium</v>
      </c>
      <c r="G53" s="4">
        <v>0</v>
      </c>
      <c r="H53" s="6">
        <v>0</v>
      </c>
      <c r="I53" t="str">
        <f t="shared" si="2"/>
        <v>poor</v>
      </c>
    </row>
    <row r="54" spans="1:9" x14ac:dyDescent="0.25">
      <c r="A54" t="s">
        <v>55</v>
      </c>
      <c r="B54" s="4">
        <v>1459</v>
      </c>
      <c r="C54" s="4">
        <v>1499</v>
      </c>
      <c r="D54" s="4">
        <f t="shared" si="0"/>
        <v>40</v>
      </c>
      <c r="E54" s="1">
        <v>0.03</v>
      </c>
      <c r="F54" s="1" t="str">
        <f t="shared" si="1"/>
        <v>low</v>
      </c>
      <c r="G54" s="4">
        <v>0</v>
      </c>
      <c r="H54" s="6">
        <v>0</v>
      </c>
      <c r="I54" t="str">
        <f t="shared" si="2"/>
        <v>poor</v>
      </c>
    </row>
    <row r="55" spans="1:9" x14ac:dyDescent="0.25">
      <c r="A55" t="s">
        <v>56</v>
      </c>
      <c r="B55" s="4">
        <v>799</v>
      </c>
      <c r="C55" s="4">
        <v>1343</v>
      </c>
      <c r="D55" s="4">
        <f t="shared" si="0"/>
        <v>544</v>
      </c>
      <c r="E55" s="1">
        <v>0.41</v>
      </c>
      <c r="F55" s="1" t="str">
        <f t="shared" si="1"/>
        <v>high</v>
      </c>
      <c r="G55" s="4">
        <v>0</v>
      </c>
      <c r="H55" s="6">
        <v>0</v>
      </c>
      <c r="I55" t="str">
        <f t="shared" si="2"/>
        <v>poor</v>
      </c>
    </row>
    <row r="56" spans="1:9" x14ac:dyDescent="0.25">
      <c r="A56" t="s">
        <v>57</v>
      </c>
      <c r="B56" s="4">
        <v>499</v>
      </c>
      <c r="C56" s="4">
        <v>900</v>
      </c>
      <c r="D56" s="4">
        <f t="shared" si="0"/>
        <v>401</v>
      </c>
      <c r="E56" s="1">
        <v>0.45</v>
      </c>
      <c r="F56" s="1" t="str">
        <f t="shared" si="1"/>
        <v>high</v>
      </c>
      <c r="G56" s="4">
        <v>0</v>
      </c>
      <c r="H56" s="6">
        <v>0</v>
      </c>
      <c r="I56" t="str">
        <f t="shared" si="2"/>
        <v>poor</v>
      </c>
    </row>
    <row r="57" spans="1:9" x14ac:dyDescent="0.25">
      <c r="A57" t="s">
        <v>58</v>
      </c>
      <c r="B57" s="4">
        <v>699</v>
      </c>
      <c r="C57" s="4">
        <v>1343</v>
      </c>
      <c r="D57" s="4">
        <f t="shared" si="0"/>
        <v>644</v>
      </c>
      <c r="E57" s="1">
        <v>0.48</v>
      </c>
      <c r="F57" s="1" t="str">
        <f t="shared" si="1"/>
        <v>high</v>
      </c>
      <c r="G57" s="4">
        <v>0</v>
      </c>
      <c r="H57" s="6">
        <v>0</v>
      </c>
      <c r="I57" t="str">
        <f t="shared" si="2"/>
        <v>poor</v>
      </c>
    </row>
    <row r="58" spans="1:9" x14ac:dyDescent="0.25">
      <c r="A58" t="s">
        <v>59</v>
      </c>
      <c r="B58" s="4">
        <v>799</v>
      </c>
      <c r="C58" s="4">
        <v>1567</v>
      </c>
      <c r="D58" s="4">
        <f t="shared" si="0"/>
        <v>768</v>
      </c>
      <c r="E58" s="1">
        <v>0.49</v>
      </c>
      <c r="F58" s="1" t="str">
        <f t="shared" si="1"/>
        <v>high</v>
      </c>
      <c r="G58" s="4">
        <v>0</v>
      </c>
      <c r="H58" s="6">
        <v>0</v>
      </c>
      <c r="I58" t="str">
        <f t="shared" si="2"/>
        <v>poor</v>
      </c>
    </row>
    <row r="59" spans="1:9" x14ac:dyDescent="0.25">
      <c r="A59" t="s">
        <v>60</v>
      </c>
      <c r="B59" s="4">
        <v>2799</v>
      </c>
      <c r="C59" s="4">
        <v>3810</v>
      </c>
      <c r="D59" s="4">
        <f t="shared" si="0"/>
        <v>1011</v>
      </c>
      <c r="E59" s="1">
        <v>0.27</v>
      </c>
      <c r="F59" s="1" t="str">
        <f t="shared" si="1"/>
        <v>medium</v>
      </c>
      <c r="G59" s="4">
        <v>0</v>
      </c>
      <c r="H59" s="6">
        <v>0</v>
      </c>
      <c r="I59" t="str">
        <f t="shared" si="2"/>
        <v>poor</v>
      </c>
    </row>
    <row r="60" spans="1:9" x14ac:dyDescent="0.25">
      <c r="A60" t="s">
        <v>61</v>
      </c>
      <c r="B60" s="4">
        <v>2170</v>
      </c>
      <c r="C60" s="4">
        <v>2500</v>
      </c>
      <c r="D60" s="4">
        <f t="shared" si="0"/>
        <v>330</v>
      </c>
      <c r="E60" s="1">
        <v>0.13</v>
      </c>
      <c r="F60" s="1" t="str">
        <f t="shared" si="1"/>
        <v>low</v>
      </c>
      <c r="G60" s="4">
        <v>6</v>
      </c>
      <c r="H60" s="6">
        <v>2.5</v>
      </c>
      <c r="I60" t="str">
        <f t="shared" si="2"/>
        <v>poor</v>
      </c>
    </row>
    <row r="61" spans="1:9" x14ac:dyDescent="0.25">
      <c r="A61" t="s">
        <v>62</v>
      </c>
      <c r="B61" s="4">
        <v>458</v>
      </c>
      <c r="C61" s="4">
        <v>986</v>
      </c>
      <c r="D61" s="4">
        <f t="shared" si="0"/>
        <v>528</v>
      </c>
      <c r="E61" s="1">
        <v>0.54</v>
      </c>
      <c r="F61" s="1" t="str">
        <f t="shared" si="1"/>
        <v>high</v>
      </c>
      <c r="G61" s="4">
        <v>10</v>
      </c>
      <c r="H61" s="6">
        <v>3</v>
      </c>
      <c r="I61" t="str">
        <f t="shared" si="2"/>
        <v>average</v>
      </c>
    </row>
    <row r="62" spans="1:9" x14ac:dyDescent="0.25">
      <c r="A62" t="s">
        <v>63</v>
      </c>
      <c r="B62" s="4">
        <v>2115</v>
      </c>
      <c r="C62" s="4">
        <v>4700</v>
      </c>
      <c r="D62" s="4">
        <f t="shared" si="0"/>
        <v>2585</v>
      </c>
      <c r="E62" s="1">
        <v>0.55000000000000004</v>
      </c>
      <c r="F62" s="1" t="str">
        <f t="shared" si="1"/>
        <v>high</v>
      </c>
      <c r="G62" s="4">
        <v>13</v>
      </c>
      <c r="H62" s="6">
        <v>2.1</v>
      </c>
      <c r="I62" t="str">
        <f t="shared" si="2"/>
        <v>poor</v>
      </c>
    </row>
    <row r="63" spans="1:9" x14ac:dyDescent="0.25">
      <c r="A63" t="s">
        <v>64</v>
      </c>
      <c r="B63" s="4">
        <v>445</v>
      </c>
      <c r="C63" s="4">
        <v>873</v>
      </c>
      <c r="D63" s="4">
        <f t="shared" si="0"/>
        <v>428</v>
      </c>
      <c r="E63" s="1">
        <v>0.49</v>
      </c>
      <c r="F63" s="1" t="str">
        <f t="shared" si="1"/>
        <v>high</v>
      </c>
      <c r="G63" s="4">
        <v>69</v>
      </c>
      <c r="H63" s="6">
        <v>2.8</v>
      </c>
      <c r="I63" t="str">
        <f t="shared" si="2"/>
        <v>poor</v>
      </c>
    </row>
    <row r="64" spans="1:9" x14ac:dyDescent="0.25">
      <c r="A64" t="s">
        <v>65</v>
      </c>
      <c r="B64" s="4">
        <v>325</v>
      </c>
      <c r="C64" s="4">
        <v>680</v>
      </c>
      <c r="D64" s="4">
        <f t="shared" si="0"/>
        <v>355</v>
      </c>
      <c r="E64" s="1">
        <v>0.52</v>
      </c>
      <c r="F64" s="1" t="str">
        <f t="shared" si="1"/>
        <v>high</v>
      </c>
      <c r="G64" s="4">
        <v>15</v>
      </c>
      <c r="H64" s="6">
        <v>2.7</v>
      </c>
      <c r="I64" t="str">
        <f t="shared" si="2"/>
        <v>poor</v>
      </c>
    </row>
    <row r="65" spans="1:9" x14ac:dyDescent="0.25">
      <c r="A65" t="s">
        <v>66</v>
      </c>
      <c r="B65" s="4">
        <v>1220</v>
      </c>
      <c r="C65" s="4">
        <v>1555</v>
      </c>
      <c r="D65" s="4">
        <f t="shared" si="0"/>
        <v>335</v>
      </c>
      <c r="E65" s="1">
        <v>0.22</v>
      </c>
      <c r="F65" s="1" t="str">
        <f t="shared" si="1"/>
        <v>medium</v>
      </c>
      <c r="G65" s="4">
        <v>16</v>
      </c>
      <c r="H65" s="6">
        <v>2.9</v>
      </c>
      <c r="I65" t="str">
        <f t="shared" si="2"/>
        <v>poor</v>
      </c>
    </row>
    <row r="66" spans="1:9" x14ac:dyDescent="0.25">
      <c r="A66" t="s">
        <v>67</v>
      </c>
      <c r="B66" s="4">
        <v>990</v>
      </c>
      <c r="C66" s="4">
        <v>1814</v>
      </c>
      <c r="D66" s="4">
        <f t="shared" si="0"/>
        <v>824</v>
      </c>
      <c r="E66" s="1">
        <v>0.45</v>
      </c>
      <c r="F66" s="1" t="str">
        <f t="shared" si="1"/>
        <v>high</v>
      </c>
      <c r="G66" s="4">
        <v>6</v>
      </c>
      <c r="H66" s="6">
        <v>2.2000000000000002</v>
      </c>
      <c r="I66" t="str">
        <f t="shared" si="2"/>
        <v>poor</v>
      </c>
    </row>
    <row r="67" spans="1:9" x14ac:dyDescent="0.25">
      <c r="A67" t="s">
        <v>68</v>
      </c>
      <c r="B67" s="4">
        <v>1000</v>
      </c>
      <c r="C67" s="4">
        <v>2000</v>
      </c>
      <c r="D67" s="4">
        <f t="shared" ref="D67:D110" si="3">C67 - B67</f>
        <v>1000</v>
      </c>
      <c r="E67" s="1">
        <v>0.5</v>
      </c>
      <c r="F67" s="1" t="str">
        <f t="shared" ref="F67:F110" si="4">IF(E67&gt;40%, "high", IF(E67&gt;= 20%,"medium", "low"))</f>
        <v>high</v>
      </c>
      <c r="G67" s="4">
        <v>7</v>
      </c>
      <c r="H67" s="6">
        <v>2.2999999999999998</v>
      </c>
      <c r="I67" t="str">
        <f t="shared" ref="I67:I110" si="5">IF(H67 &gt;=4.5, "excellent", IF(H67 &gt;=3, "average", "poor"))</f>
        <v>poor</v>
      </c>
    </row>
    <row r="68" spans="1:9" x14ac:dyDescent="0.25">
      <c r="A68" t="s">
        <v>69</v>
      </c>
      <c r="B68" s="4">
        <v>3750</v>
      </c>
      <c r="C68" s="4">
        <v>6143</v>
      </c>
      <c r="D68" s="4">
        <f t="shared" si="3"/>
        <v>2393</v>
      </c>
      <c r="E68" s="1">
        <v>0.39</v>
      </c>
      <c r="F68" s="1" t="str">
        <f t="shared" si="4"/>
        <v>medium</v>
      </c>
      <c r="G68" s="4">
        <v>5</v>
      </c>
      <c r="H68" s="6">
        <v>3</v>
      </c>
      <c r="I68" t="str">
        <f t="shared" si="5"/>
        <v>average</v>
      </c>
    </row>
    <row r="69" spans="1:9" x14ac:dyDescent="0.25">
      <c r="A69" t="s">
        <v>70</v>
      </c>
      <c r="B69" s="4">
        <v>382</v>
      </c>
      <c r="C69" s="4">
        <v>700</v>
      </c>
      <c r="D69" s="4">
        <f t="shared" si="3"/>
        <v>318</v>
      </c>
      <c r="E69" s="1">
        <v>0.45</v>
      </c>
      <c r="F69" s="1" t="str">
        <f t="shared" si="4"/>
        <v>high</v>
      </c>
      <c r="G69" s="4">
        <v>17</v>
      </c>
      <c r="H69" s="6">
        <v>2.6</v>
      </c>
      <c r="I69" t="str">
        <f t="shared" si="5"/>
        <v>poor</v>
      </c>
    </row>
    <row r="70" spans="1:9" x14ac:dyDescent="0.25">
      <c r="A70" t="s">
        <v>71</v>
      </c>
      <c r="B70" s="4">
        <v>2300</v>
      </c>
      <c r="C70" s="4">
        <v>3240</v>
      </c>
      <c r="D70" s="4">
        <f t="shared" si="3"/>
        <v>940</v>
      </c>
      <c r="E70" s="1">
        <v>0.28999999999999998</v>
      </c>
      <c r="F70" s="1" t="str">
        <f t="shared" si="4"/>
        <v>medium</v>
      </c>
      <c r="G70" s="4">
        <v>5</v>
      </c>
      <c r="H70" s="6">
        <v>3</v>
      </c>
      <c r="I70" t="str">
        <f t="shared" si="5"/>
        <v>average</v>
      </c>
    </row>
    <row r="71" spans="1:9" x14ac:dyDescent="0.25">
      <c r="A71" t="s">
        <v>72</v>
      </c>
      <c r="B71" s="4">
        <v>345</v>
      </c>
      <c r="C71" s="4">
        <v>602</v>
      </c>
      <c r="D71" s="4">
        <f t="shared" si="3"/>
        <v>257</v>
      </c>
      <c r="E71" s="1">
        <v>0.43</v>
      </c>
      <c r="F71" s="1" t="str">
        <f t="shared" si="4"/>
        <v>high</v>
      </c>
      <c r="G71" s="4">
        <v>6</v>
      </c>
      <c r="H71" s="6">
        <v>2.2999999999999998</v>
      </c>
      <c r="I71" t="str">
        <f t="shared" si="5"/>
        <v>poor</v>
      </c>
    </row>
    <row r="72" spans="1:9" x14ac:dyDescent="0.25">
      <c r="A72" t="s">
        <v>73</v>
      </c>
      <c r="B72" s="4">
        <v>509</v>
      </c>
      <c r="C72" s="4">
        <v>899</v>
      </c>
      <c r="D72" s="4">
        <f t="shared" si="3"/>
        <v>390</v>
      </c>
      <c r="E72" s="1">
        <v>0.43</v>
      </c>
      <c r="F72" s="1" t="str">
        <f t="shared" si="4"/>
        <v>high</v>
      </c>
      <c r="G72" s="4">
        <v>5</v>
      </c>
      <c r="H72" s="6">
        <v>3</v>
      </c>
      <c r="I72" t="str">
        <f t="shared" si="5"/>
        <v>average</v>
      </c>
    </row>
    <row r="73" spans="1:9" x14ac:dyDescent="0.25">
      <c r="A73" t="s">
        <v>74</v>
      </c>
      <c r="B73" s="4">
        <v>968</v>
      </c>
      <c r="C73" s="4">
        <v>1814</v>
      </c>
      <c r="D73" s="4">
        <f t="shared" si="3"/>
        <v>846</v>
      </c>
      <c r="E73" s="1">
        <v>0.47</v>
      </c>
      <c r="F73" s="1" t="str">
        <f t="shared" si="4"/>
        <v>high</v>
      </c>
      <c r="G73" s="4">
        <v>6</v>
      </c>
      <c r="H73" s="6">
        <v>2.2000000000000002</v>
      </c>
      <c r="I73" t="str">
        <f t="shared" si="5"/>
        <v>poor</v>
      </c>
    </row>
    <row r="74" spans="1:9" x14ac:dyDescent="0.25">
      <c r="A74" t="s">
        <v>75</v>
      </c>
      <c r="B74" s="4">
        <v>1570</v>
      </c>
      <c r="C74" s="4">
        <v>2988</v>
      </c>
      <c r="D74" s="4">
        <f t="shared" si="3"/>
        <v>1418</v>
      </c>
      <c r="E74" s="1">
        <v>0.47</v>
      </c>
      <c r="F74" s="1" t="str">
        <f t="shared" si="4"/>
        <v>high</v>
      </c>
      <c r="G74" s="4">
        <v>7</v>
      </c>
      <c r="H74" s="6">
        <v>2.1</v>
      </c>
      <c r="I74" t="str">
        <f t="shared" si="5"/>
        <v>poor</v>
      </c>
    </row>
    <row r="75" spans="1:9" x14ac:dyDescent="0.25">
      <c r="A75" t="s">
        <v>76</v>
      </c>
      <c r="B75" s="4">
        <v>790</v>
      </c>
      <c r="C75" s="4">
        <v>1485</v>
      </c>
      <c r="D75" s="4">
        <f t="shared" si="3"/>
        <v>695</v>
      </c>
      <c r="E75" s="1">
        <v>0.47</v>
      </c>
      <c r="F75" s="1" t="str">
        <f t="shared" si="4"/>
        <v>high</v>
      </c>
      <c r="G75" s="4">
        <v>0</v>
      </c>
      <c r="H75" s="6">
        <v>0</v>
      </c>
      <c r="I75" t="str">
        <f t="shared" si="5"/>
        <v>poor</v>
      </c>
    </row>
    <row r="76" spans="1:9" x14ac:dyDescent="0.25">
      <c r="A76" t="s">
        <v>77</v>
      </c>
      <c r="B76" s="4">
        <v>690</v>
      </c>
      <c r="C76" s="4">
        <v>1200</v>
      </c>
      <c r="D76" s="4">
        <f t="shared" si="3"/>
        <v>510</v>
      </c>
      <c r="E76" s="1">
        <v>0.43</v>
      </c>
      <c r="F76" s="1" t="str">
        <f t="shared" si="4"/>
        <v>high</v>
      </c>
      <c r="G76" s="4">
        <v>0</v>
      </c>
      <c r="H76" s="6">
        <v>0</v>
      </c>
      <c r="I76" t="str">
        <f t="shared" si="5"/>
        <v>poor</v>
      </c>
    </row>
    <row r="77" spans="1:9" x14ac:dyDescent="0.25">
      <c r="A77" t="s">
        <v>78</v>
      </c>
      <c r="B77" s="4">
        <v>1732</v>
      </c>
      <c r="C77" s="4">
        <v>1799</v>
      </c>
      <c r="D77" s="4">
        <f t="shared" si="3"/>
        <v>67</v>
      </c>
      <c r="E77" s="1">
        <v>0.04</v>
      </c>
      <c r="F77" s="1" t="str">
        <f t="shared" si="4"/>
        <v>low</v>
      </c>
      <c r="G77" s="4">
        <v>0</v>
      </c>
      <c r="H77" s="6">
        <v>0</v>
      </c>
      <c r="I77" t="str">
        <f t="shared" si="5"/>
        <v>poor</v>
      </c>
    </row>
    <row r="78" spans="1:9" x14ac:dyDescent="0.25">
      <c r="A78" t="s">
        <v>79</v>
      </c>
      <c r="B78" s="4">
        <v>230</v>
      </c>
      <c r="C78" s="4">
        <v>450</v>
      </c>
      <c r="D78" s="4">
        <f t="shared" si="3"/>
        <v>220</v>
      </c>
      <c r="E78" s="1">
        <v>0.49</v>
      </c>
      <c r="F78" s="1" t="str">
        <f t="shared" si="4"/>
        <v>high</v>
      </c>
      <c r="G78" s="4">
        <v>0</v>
      </c>
      <c r="H78" s="6">
        <v>0</v>
      </c>
      <c r="I78" t="str">
        <f t="shared" si="5"/>
        <v>poor</v>
      </c>
    </row>
    <row r="79" spans="1:9" x14ac:dyDescent="0.25">
      <c r="A79" t="s">
        <v>80</v>
      </c>
      <c r="B79" s="4">
        <v>1189</v>
      </c>
      <c r="C79" s="4">
        <v>2199</v>
      </c>
      <c r="D79" s="4">
        <f t="shared" si="3"/>
        <v>1010</v>
      </c>
      <c r="E79" s="1">
        <v>0.46</v>
      </c>
      <c r="F79" s="1" t="str">
        <f t="shared" si="4"/>
        <v>high</v>
      </c>
      <c r="G79" s="4">
        <v>1</v>
      </c>
      <c r="H79" s="6">
        <v>3</v>
      </c>
      <c r="I79" t="str">
        <f t="shared" si="5"/>
        <v>average</v>
      </c>
    </row>
    <row r="80" spans="1:9" x14ac:dyDescent="0.25">
      <c r="A80" t="s">
        <v>81</v>
      </c>
      <c r="B80" s="4">
        <v>979</v>
      </c>
      <c r="C80" s="4">
        <v>1920</v>
      </c>
      <c r="D80" s="4">
        <f t="shared" si="3"/>
        <v>941</v>
      </c>
      <c r="E80" s="1">
        <v>0.49</v>
      </c>
      <c r="F80" s="1" t="str">
        <f t="shared" si="4"/>
        <v>high</v>
      </c>
      <c r="G80" s="4">
        <v>1</v>
      </c>
      <c r="H80" s="6">
        <v>5</v>
      </c>
      <c r="I80" t="str">
        <f t="shared" si="5"/>
        <v>excellent</v>
      </c>
    </row>
    <row r="81" spans="1:9" x14ac:dyDescent="0.25">
      <c r="A81" t="s">
        <v>82</v>
      </c>
      <c r="B81" s="4">
        <v>1460</v>
      </c>
      <c r="C81" s="4">
        <v>2290</v>
      </c>
      <c r="D81" s="4">
        <f t="shared" si="3"/>
        <v>830</v>
      </c>
      <c r="E81" s="1">
        <v>0.36</v>
      </c>
      <c r="F81" s="1" t="str">
        <f t="shared" si="4"/>
        <v>medium</v>
      </c>
      <c r="G81" s="4">
        <v>0</v>
      </c>
      <c r="H81" s="6">
        <v>0</v>
      </c>
      <c r="I81" t="str">
        <f t="shared" si="5"/>
        <v>poor</v>
      </c>
    </row>
    <row r="82" spans="1:9" x14ac:dyDescent="0.25">
      <c r="A82" t="s">
        <v>83</v>
      </c>
      <c r="B82" s="4">
        <v>1666</v>
      </c>
      <c r="C82" s="4">
        <v>1699</v>
      </c>
      <c r="D82" s="4">
        <f t="shared" si="3"/>
        <v>33</v>
      </c>
      <c r="E82" s="1">
        <v>0.02</v>
      </c>
      <c r="F82" s="1" t="str">
        <f t="shared" si="4"/>
        <v>low</v>
      </c>
      <c r="G82" s="4">
        <v>0</v>
      </c>
      <c r="H82" s="6">
        <v>0</v>
      </c>
      <c r="I82" t="str">
        <f t="shared" si="5"/>
        <v>poor</v>
      </c>
    </row>
    <row r="83" spans="1:9" x14ac:dyDescent="0.25">
      <c r="A83" t="s">
        <v>84</v>
      </c>
      <c r="B83" s="4">
        <v>330</v>
      </c>
      <c r="C83" s="4">
        <v>647</v>
      </c>
      <c r="D83" s="4">
        <f t="shared" si="3"/>
        <v>317</v>
      </c>
      <c r="E83" s="1">
        <v>0.49</v>
      </c>
      <c r="F83" s="1" t="str">
        <f t="shared" si="4"/>
        <v>high</v>
      </c>
      <c r="G83" s="4">
        <v>1</v>
      </c>
      <c r="H83" s="6">
        <v>4</v>
      </c>
      <c r="I83" t="str">
        <f t="shared" si="5"/>
        <v>average</v>
      </c>
    </row>
    <row r="84" spans="1:9" x14ac:dyDescent="0.25">
      <c r="A84" t="s">
        <v>85</v>
      </c>
      <c r="B84" s="4">
        <v>1466</v>
      </c>
      <c r="C84" s="4">
        <v>1699</v>
      </c>
      <c r="D84" s="4">
        <f t="shared" si="3"/>
        <v>233</v>
      </c>
      <c r="E84" s="1">
        <v>0.14000000000000001</v>
      </c>
      <c r="F84" s="1" t="str">
        <f t="shared" si="4"/>
        <v>low</v>
      </c>
      <c r="G84" s="4">
        <v>0</v>
      </c>
      <c r="H84" s="6">
        <v>0</v>
      </c>
      <c r="I84" t="str">
        <f t="shared" si="5"/>
        <v>poor</v>
      </c>
    </row>
    <row r="85" spans="1:9" x14ac:dyDescent="0.25">
      <c r="A85" t="s">
        <v>86</v>
      </c>
      <c r="B85" s="4">
        <v>274</v>
      </c>
      <c r="C85" s="4">
        <v>537</v>
      </c>
      <c r="D85" s="4">
        <f t="shared" si="3"/>
        <v>263</v>
      </c>
      <c r="E85" s="1">
        <v>0.49</v>
      </c>
      <c r="F85" s="1" t="str">
        <f t="shared" si="4"/>
        <v>high</v>
      </c>
      <c r="G85" s="4">
        <v>0</v>
      </c>
      <c r="H85" s="6">
        <v>0</v>
      </c>
      <c r="I85" t="str">
        <f t="shared" si="5"/>
        <v>poor</v>
      </c>
    </row>
    <row r="86" spans="1:9" x14ac:dyDescent="0.25">
      <c r="A86" t="s">
        <v>87</v>
      </c>
      <c r="B86" s="4">
        <v>799</v>
      </c>
      <c r="C86" s="4">
        <v>900</v>
      </c>
      <c r="D86" s="4">
        <f t="shared" si="3"/>
        <v>101</v>
      </c>
      <c r="E86" s="1">
        <v>0.11</v>
      </c>
      <c r="F86" s="1" t="str">
        <f t="shared" si="4"/>
        <v>low</v>
      </c>
      <c r="G86" s="4">
        <v>0</v>
      </c>
      <c r="H86" s="6">
        <v>0</v>
      </c>
      <c r="I86" t="str">
        <f t="shared" si="5"/>
        <v>poor</v>
      </c>
    </row>
    <row r="87" spans="1:9" x14ac:dyDescent="0.25">
      <c r="A87" t="s">
        <v>88</v>
      </c>
      <c r="B87" s="4">
        <v>1468</v>
      </c>
      <c r="C87" s="4">
        <v>1699</v>
      </c>
      <c r="D87" s="4">
        <f t="shared" si="3"/>
        <v>231</v>
      </c>
      <c r="E87" s="1">
        <v>0.14000000000000001</v>
      </c>
      <c r="F87" s="1" t="str">
        <f t="shared" si="4"/>
        <v>low</v>
      </c>
      <c r="G87" s="4">
        <v>0</v>
      </c>
      <c r="H87" s="6">
        <v>0</v>
      </c>
      <c r="I87" t="str">
        <f t="shared" si="5"/>
        <v>poor</v>
      </c>
    </row>
    <row r="88" spans="1:9" x14ac:dyDescent="0.25">
      <c r="A88" t="s">
        <v>89</v>
      </c>
      <c r="B88" s="4">
        <v>630</v>
      </c>
      <c r="C88" s="4">
        <v>1100</v>
      </c>
      <c r="D88" s="4">
        <f t="shared" si="3"/>
        <v>470</v>
      </c>
      <c r="E88" s="1">
        <v>0.43</v>
      </c>
      <c r="F88" s="1" t="str">
        <f t="shared" si="4"/>
        <v>high</v>
      </c>
      <c r="G88" s="4">
        <v>0</v>
      </c>
      <c r="H88" s="6">
        <v>0</v>
      </c>
      <c r="I88" t="str">
        <f t="shared" si="5"/>
        <v>poor</v>
      </c>
    </row>
    <row r="89" spans="1:9" x14ac:dyDescent="0.25">
      <c r="A89" t="s">
        <v>90</v>
      </c>
      <c r="B89" s="4">
        <v>850</v>
      </c>
      <c r="C89" s="4">
        <v>1700</v>
      </c>
      <c r="D89" s="4">
        <f t="shared" si="3"/>
        <v>850</v>
      </c>
      <c r="E89" s="1">
        <v>0.5</v>
      </c>
      <c r="F89" s="1" t="str">
        <f t="shared" si="4"/>
        <v>high</v>
      </c>
      <c r="G89" s="4">
        <v>0</v>
      </c>
      <c r="H89" s="6">
        <v>0</v>
      </c>
      <c r="I89" t="str">
        <f t="shared" si="5"/>
        <v>poor</v>
      </c>
    </row>
    <row r="90" spans="1:9" x14ac:dyDescent="0.25">
      <c r="A90" t="s">
        <v>91</v>
      </c>
      <c r="B90" s="4">
        <v>1300</v>
      </c>
      <c r="C90" s="4">
        <v>2500</v>
      </c>
      <c r="D90" s="4">
        <f t="shared" si="3"/>
        <v>1200</v>
      </c>
      <c r="E90" s="1">
        <v>0.48</v>
      </c>
      <c r="F90" s="1" t="str">
        <f t="shared" si="4"/>
        <v>high</v>
      </c>
      <c r="G90" s="4">
        <v>0</v>
      </c>
      <c r="H90" s="6">
        <v>0</v>
      </c>
      <c r="I90" t="str">
        <f t="shared" si="5"/>
        <v>poor</v>
      </c>
    </row>
    <row r="91" spans="1:9" x14ac:dyDescent="0.25">
      <c r="A91" t="s">
        <v>92</v>
      </c>
      <c r="B91" s="4">
        <v>105</v>
      </c>
      <c r="C91" s="4">
        <v>200</v>
      </c>
      <c r="D91" s="4">
        <f t="shared" si="3"/>
        <v>95</v>
      </c>
      <c r="E91" s="1">
        <v>0.48</v>
      </c>
      <c r="F91" s="1" t="str">
        <f t="shared" si="4"/>
        <v>high</v>
      </c>
      <c r="G91" s="4">
        <v>0</v>
      </c>
      <c r="H91" s="6">
        <v>0</v>
      </c>
      <c r="I91" t="str">
        <f t="shared" si="5"/>
        <v>poor</v>
      </c>
    </row>
    <row r="92" spans="1:9" x14ac:dyDescent="0.25">
      <c r="A92" t="s">
        <v>93</v>
      </c>
      <c r="B92" s="4">
        <v>899</v>
      </c>
      <c r="C92" s="4">
        <v>1699</v>
      </c>
      <c r="D92" s="4">
        <f t="shared" si="3"/>
        <v>800</v>
      </c>
      <c r="E92" s="1">
        <v>0.47</v>
      </c>
      <c r="F92" s="1" t="str">
        <f t="shared" si="4"/>
        <v>high</v>
      </c>
      <c r="G92" s="4">
        <v>0</v>
      </c>
      <c r="H92" s="6">
        <v>0</v>
      </c>
      <c r="I92" t="str">
        <f t="shared" si="5"/>
        <v>poor</v>
      </c>
    </row>
    <row r="93" spans="1:9" x14ac:dyDescent="0.25">
      <c r="A93" t="s">
        <v>94</v>
      </c>
      <c r="B93" s="4">
        <v>1200</v>
      </c>
      <c r="C93" s="4">
        <v>2400</v>
      </c>
      <c r="D93" s="4">
        <f t="shared" si="3"/>
        <v>1200</v>
      </c>
      <c r="E93" s="1">
        <v>0.5</v>
      </c>
      <c r="F93" s="1" t="str">
        <f t="shared" si="4"/>
        <v>high</v>
      </c>
      <c r="G93" s="4">
        <v>0</v>
      </c>
      <c r="H93" s="6">
        <v>0</v>
      </c>
      <c r="I93" t="str">
        <f t="shared" si="5"/>
        <v>poor</v>
      </c>
    </row>
    <row r="94" spans="1:9" x14ac:dyDescent="0.25">
      <c r="A94" t="s">
        <v>95</v>
      </c>
      <c r="B94" s="4">
        <v>1526</v>
      </c>
      <c r="C94" s="4">
        <v>1660</v>
      </c>
      <c r="D94" s="4">
        <f t="shared" si="3"/>
        <v>134</v>
      </c>
      <c r="E94" s="1">
        <v>0.08</v>
      </c>
      <c r="F94" s="1" t="str">
        <f t="shared" si="4"/>
        <v>low</v>
      </c>
      <c r="G94" s="4">
        <v>0</v>
      </c>
      <c r="H94" s="6">
        <v>0</v>
      </c>
      <c r="I94" t="str">
        <f t="shared" si="5"/>
        <v>poor</v>
      </c>
    </row>
    <row r="95" spans="1:9" x14ac:dyDescent="0.25">
      <c r="A95" t="s">
        <v>96</v>
      </c>
      <c r="B95" s="4">
        <v>1462</v>
      </c>
      <c r="C95" s="4">
        <v>1499</v>
      </c>
      <c r="D95" s="4">
        <f t="shared" si="3"/>
        <v>37</v>
      </c>
      <c r="E95" s="1">
        <v>0.02</v>
      </c>
      <c r="F95" s="1" t="str">
        <f t="shared" si="4"/>
        <v>low</v>
      </c>
      <c r="G95" s="4">
        <v>0</v>
      </c>
      <c r="H95" s="6">
        <v>0</v>
      </c>
      <c r="I95" t="str">
        <f t="shared" si="5"/>
        <v>poor</v>
      </c>
    </row>
    <row r="96" spans="1:9" x14ac:dyDescent="0.25">
      <c r="A96" t="s">
        <v>97</v>
      </c>
      <c r="B96" s="4">
        <v>248</v>
      </c>
      <c r="C96" s="4">
        <v>486</v>
      </c>
      <c r="D96" s="4">
        <f t="shared" si="3"/>
        <v>238</v>
      </c>
      <c r="E96" s="1">
        <v>0.49</v>
      </c>
      <c r="F96" s="1" t="str">
        <f t="shared" si="4"/>
        <v>high</v>
      </c>
      <c r="G96" s="4">
        <v>0</v>
      </c>
      <c r="H96" s="6">
        <v>0</v>
      </c>
      <c r="I96" t="str">
        <f t="shared" si="5"/>
        <v>poor</v>
      </c>
    </row>
    <row r="97" spans="1:9" x14ac:dyDescent="0.25">
      <c r="A97" t="s">
        <v>98</v>
      </c>
      <c r="B97" s="4">
        <v>3546</v>
      </c>
      <c r="C97" s="4">
        <v>3699</v>
      </c>
      <c r="D97" s="4">
        <f t="shared" si="3"/>
        <v>153</v>
      </c>
      <c r="E97" s="1">
        <v>0.04</v>
      </c>
      <c r="F97" s="1" t="str">
        <f t="shared" si="4"/>
        <v>low</v>
      </c>
      <c r="G97" s="4">
        <v>0</v>
      </c>
      <c r="H97" s="6">
        <v>0</v>
      </c>
      <c r="I97" t="str">
        <f t="shared" si="5"/>
        <v>poor</v>
      </c>
    </row>
    <row r="98" spans="1:9" x14ac:dyDescent="0.25">
      <c r="A98" t="s">
        <v>99</v>
      </c>
      <c r="B98" s="4">
        <v>525</v>
      </c>
      <c r="C98" s="4">
        <v>1029</v>
      </c>
      <c r="D98" s="4">
        <f t="shared" si="3"/>
        <v>504</v>
      </c>
      <c r="E98" s="1">
        <v>0.49</v>
      </c>
      <c r="F98" s="1" t="str">
        <f t="shared" si="4"/>
        <v>high</v>
      </c>
      <c r="G98" s="4">
        <v>0</v>
      </c>
      <c r="H98" s="6">
        <v>0</v>
      </c>
      <c r="I98" t="str">
        <f t="shared" si="5"/>
        <v>poor</v>
      </c>
    </row>
    <row r="99" spans="1:9" x14ac:dyDescent="0.25">
      <c r="A99" t="s">
        <v>100</v>
      </c>
      <c r="B99" s="4">
        <v>1080</v>
      </c>
      <c r="C99" s="4">
        <v>1874</v>
      </c>
      <c r="D99" s="4">
        <f t="shared" si="3"/>
        <v>794</v>
      </c>
      <c r="E99" s="1">
        <v>0.42</v>
      </c>
      <c r="F99" s="1" t="str">
        <f t="shared" si="4"/>
        <v>high</v>
      </c>
      <c r="G99" s="4">
        <v>0</v>
      </c>
      <c r="H99" s="6">
        <v>0</v>
      </c>
      <c r="I99" t="str">
        <f t="shared" si="5"/>
        <v>poor</v>
      </c>
    </row>
    <row r="100" spans="1:9" x14ac:dyDescent="0.25">
      <c r="A100" t="s">
        <v>101</v>
      </c>
      <c r="B100" s="4">
        <v>3640</v>
      </c>
      <c r="C100" s="4">
        <v>4588</v>
      </c>
      <c r="D100" s="4">
        <f t="shared" si="3"/>
        <v>948</v>
      </c>
      <c r="E100" s="1">
        <v>0.21</v>
      </c>
      <c r="F100" s="1" t="str">
        <f t="shared" si="4"/>
        <v>medium</v>
      </c>
      <c r="G100" s="4">
        <v>1</v>
      </c>
      <c r="H100" s="6">
        <v>5</v>
      </c>
      <c r="I100" t="str">
        <f t="shared" si="5"/>
        <v>excellent</v>
      </c>
    </row>
    <row r="101" spans="1:9" x14ac:dyDescent="0.25">
      <c r="A101" t="s">
        <v>102</v>
      </c>
      <c r="B101" s="4">
        <v>1420</v>
      </c>
      <c r="C101" s="4">
        <v>2420</v>
      </c>
      <c r="D101" s="4">
        <f t="shared" si="3"/>
        <v>1000</v>
      </c>
      <c r="E101" s="1">
        <v>0.41</v>
      </c>
      <c r="F101" s="1" t="str">
        <f t="shared" si="4"/>
        <v>high</v>
      </c>
      <c r="G101" s="4">
        <v>0</v>
      </c>
      <c r="H101" s="6">
        <v>0</v>
      </c>
      <c r="I101" t="str">
        <f t="shared" si="5"/>
        <v>poor</v>
      </c>
    </row>
    <row r="102" spans="1:9" x14ac:dyDescent="0.25">
      <c r="A102" t="s">
        <v>103</v>
      </c>
      <c r="B102" s="4">
        <v>1875</v>
      </c>
      <c r="C102" s="4">
        <v>1899</v>
      </c>
      <c r="D102" s="4">
        <f t="shared" si="3"/>
        <v>24</v>
      </c>
      <c r="E102" s="1">
        <v>0.01</v>
      </c>
      <c r="F102" s="1" t="str">
        <f t="shared" si="4"/>
        <v>low</v>
      </c>
      <c r="G102" s="4">
        <v>0</v>
      </c>
      <c r="H102" s="6">
        <v>0</v>
      </c>
      <c r="I102" t="str">
        <f t="shared" si="5"/>
        <v>poor</v>
      </c>
    </row>
    <row r="103" spans="1:9" x14ac:dyDescent="0.25">
      <c r="A103" t="s">
        <v>104</v>
      </c>
      <c r="B103" s="4">
        <v>198</v>
      </c>
      <c r="C103" s="4">
        <v>260</v>
      </c>
      <c r="D103" s="4">
        <f t="shared" si="3"/>
        <v>62</v>
      </c>
      <c r="E103" s="1">
        <v>0.24</v>
      </c>
      <c r="F103" s="1" t="str">
        <f t="shared" si="4"/>
        <v>medium</v>
      </c>
      <c r="G103" s="4">
        <v>0</v>
      </c>
      <c r="H103" s="6">
        <v>0</v>
      </c>
      <c r="I103" t="str">
        <f t="shared" si="5"/>
        <v>poor</v>
      </c>
    </row>
    <row r="104" spans="1:9" x14ac:dyDescent="0.25">
      <c r="A104" t="s">
        <v>105</v>
      </c>
      <c r="B104" s="4">
        <v>1150</v>
      </c>
      <c r="C104" s="4">
        <v>1737</v>
      </c>
      <c r="D104" s="4">
        <f t="shared" si="3"/>
        <v>587</v>
      </c>
      <c r="E104" s="1">
        <v>0.34</v>
      </c>
      <c r="F104" s="1" t="str">
        <f t="shared" si="4"/>
        <v>medium</v>
      </c>
      <c r="G104" s="4">
        <v>0</v>
      </c>
      <c r="H104" s="6">
        <v>0</v>
      </c>
      <c r="I104" t="str">
        <f t="shared" si="5"/>
        <v>poor</v>
      </c>
    </row>
    <row r="105" spans="1:9" x14ac:dyDescent="0.25">
      <c r="A105" t="s">
        <v>106</v>
      </c>
      <c r="B105" s="4">
        <v>1190</v>
      </c>
      <c r="C105" s="4">
        <v>1810</v>
      </c>
      <c r="D105" s="4">
        <f t="shared" si="3"/>
        <v>620</v>
      </c>
      <c r="E105" s="1">
        <v>0.34</v>
      </c>
      <c r="F105" s="1" t="str">
        <f t="shared" si="4"/>
        <v>medium</v>
      </c>
      <c r="G105" s="4">
        <v>0</v>
      </c>
      <c r="H105" s="6">
        <v>0</v>
      </c>
      <c r="I105" t="str">
        <f t="shared" si="5"/>
        <v>poor</v>
      </c>
    </row>
    <row r="106" spans="1:9" x14ac:dyDescent="0.25">
      <c r="A106" t="s">
        <v>107</v>
      </c>
      <c r="B106" s="4">
        <v>1658</v>
      </c>
      <c r="C106" s="4">
        <v>1699</v>
      </c>
      <c r="D106" s="4">
        <f t="shared" si="3"/>
        <v>41</v>
      </c>
      <c r="E106" s="1">
        <v>0.02</v>
      </c>
      <c r="F106" s="1" t="str">
        <f t="shared" si="4"/>
        <v>low</v>
      </c>
      <c r="G106" s="4">
        <v>0</v>
      </c>
      <c r="H106" s="6">
        <v>0</v>
      </c>
      <c r="I106" t="str">
        <f t="shared" si="5"/>
        <v>poor</v>
      </c>
    </row>
    <row r="107" spans="1:9" x14ac:dyDescent="0.25">
      <c r="A107" t="s">
        <v>108</v>
      </c>
      <c r="B107" s="4">
        <v>1768</v>
      </c>
      <c r="C107" s="4">
        <v>1799</v>
      </c>
      <c r="D107" s="4">
        <f t="shared" si="3"/>
        <v>31</v>
      </c>
      <c r="E107" s="1">
        <v>0.02</v>
      </c>
      <c r="F107" s="1" t="str">
        <f t="shared" si="4"/>
        <v>low</v>
      </c>
      <c r="G107" s="4">
        <v>0</v>
      </c>
      <c r="H107" s="6">
        <v>0</v>
      </c>
      <c r="I107" t="str">
        <f t="shared" si="5"/>
        <v>poor</v>
      </c>
    </row>
    <row r="108" spans="1:9" x14ac:dyDescent="0.25">
      <c r="A108" t="s">
        <v>109</v>
      </c>
      <c r="B108" s="4">
        <v>199</v>
      </c>
      <c r="C108" s="4">
        <v>553</v>
      </c>
      <c r="D108" s="4">
        <f t="shared" si="3"/>
        <v>354</v>
      </c>
      <c r="E108" s="1">
        <v>0.64</v>
      </c>
      <c r="F108" s="1" t="str">
        <f t="shared" si="4"/>
        <v>high</v>
      </c>
      <c r="G108" s="4">
        <v>0</v>
      </c>
      <c r="H108" s="6">
        <v>0</v>
      </c>
      <c r="I108" t="str">
        <f t="shared" si="5"/>
        <v>poor</v>
      </c>
    </row>
    <row r="109" spans="1:9" x14ac:dyDescent="0.25">
      <c r="A109" t="s">
        <v>110</v>
      </c>
      <c r="B109" s="4">
        <v>450</v>
      </c>
      <c r="C109" s="4">
        <v>900</v>
      </c>
      <c r="D109" s="4">
        <f t="shared" si="3"/>
        <v>450</v>
      </c>
      <c r="E109" s="1">
        <v>0.5</v>
      </c>
      <c r="F109" s="1" t="str">
        <f t="shared" si="4"/>
        <v>high</v>
      </c>
      <c r="G109" s="4">
        <v>1</v>
      </c>
      <c r="H109" s="6">
        <v>2</v>
      </c>
      <c r="I109" t="str">
        <f t="shared" si="5"/>
        <v>poor</v>
      </c>
    </row>
    <row r="110" spans="1:9" x14ac:dyDescent="0.25">
      <c r="A110" t="s">
        <v>111</v>
      </c>
      <c r="B110" s="4">
        <v>169</v>
      </c>
      <c r="C110" s="4">
        <v>320</v>
      </c>
      <c r="D110" s="4">
        <f t="shared" si="3"/>
        <v>151</v>
      </c>
      <c r="E110" s="1">
        <v>0.47</v>
      </c>
      <c r="F110" s="1" t="str">
        <f t="shared" si="4"/>
        <v>high</v>
      </c>
      <c r="G110" s="4">
        <v>0</v>
      </c>
      <c r="H110" s="6">
        <v>0</v>
      </c>
      <c r="I110" t="str">
        <f t="shared" si="5"/>
        <v>poor</v>
      </c>
    </row>
    <row r="111" spans="1:9" x14ac:dyDescent="0.25">
      <c r="A111" s="2" t="s">
        <v>115</v>
      </c>
      <c r="B111" s="4">
        <f>AVERAGE(B2:B110)</f>
        <v>1209.9082568807339</v>
      </c>
      <c r="C111" s="4">
        <f>AVERAGE(C2:C110)</f>
        <v>1842.3394495412845</v>
      </c>
      <c r="D111"/>
      <c r="E111" s="1">
        <f>AVERAGE(E2:E110)</f>
        <v>0.36385321100917423</v>
      </c>
      <c r="F111"/>
      <c r="G111" s="4">
        <f>SUM(G2:G110)</f>
        <v>723</v>
      </c>
      <c r="H111" s="6">
        <f>AVERAGE(H2:H110)</f>
        <v>2.0339449541284398</v>
      </c>
    </row>
    <row r="112" spans="1:9" x14ac:dyDescent="0.25">
      <c r="B112"/>
      <c r="C112"/>
      <c r="D112"/>
      <c r="E112"/>
      <c r="H112"/>
    </row>
    <row r="113" customFormat="1" x14ac:dyDescent="0.25"/>
    <row r="114" customFormat="1" x14ac:dyDescent="0.25"/>
    <row r="115" customFormat="1" x14ac:dyDescent="0.25"/>
    <row r="116" customFormat="1" x14ac:dyDescent="0.25"/>
  </sheetData>
  <conditionalFormatting sqref="H111 H113:H1048576">
    <cfRule type="top10" dxfId="8" priority="1" bottom="1" rank="10"/>
    <cfRule type="top10" dxfId="7" priority="3" rank="5"/>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786A34-73AF-4539-A591-816D1E4F78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av rating by discount</vt:lpstr>
      <vt:lpstr> rating vs prod</vt:lpstr>
      <vt:lpstr>RAT &amp; NUMBEROF REVIEW</vt:lpstr>
      <vt:lpstr>discount vs review</vt:lpstr>
      <vt:lpstr>rate vs review</vt:lpstr>
      <vt:lpstr>Highrateprod vs reviews</vt:lpstr>
      <vt:lpstr>Top prod vs disc</vt:lpstr>
      <vt:lpstr>Top prod vs reviews</vt:lpstr>
      <vt:lpstr>Top 5 rated prod</vt:lpstr>
      <vt:lpstr>Bottom5 rated prod</vt:lpstr>
      <vt:lpstr>disco vs rating vs review</vt:lpstr>
      <vt:lpstr>PT_1</vt:lpstr>
      <vt:lpstr>PT_2</vt:lpstr>
      <vt:lpstr>PT_3</vt:lpstr>
      <vt:lpstr>PT_4</vt:lpstr>
      <vt:lpstr>PT_5</vt:lpstr>
      <vt:lpstr>Dashboard</vt:lpstr>
      <vt:lpstr>PT_6</vt:lpstr>
      <vt:lpstr>PT_7</vt:lpstr>
      <vt:lpstr>PT_8</vt:lpstr>
      <vt:lpstr>PT_9</vt:lpstr>
      <vt:lpstr>PT_10</vt:lpstr>
      <vt:lpstr>PT_11</vt:lpstr>
      <vt:lpstr>PT_12</vt:lpstr>
      <vt:lpstr>jumia_sales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mark junior</cp:lastModifiedBy>
  <dcterms:created xsi:type="dcterms:W3CDTF">2026-03-22T17:14:47Z</dcterms:created>
  <dcterms:modified xsi:type="dcterms:W3CDTF">2026-10-19T15:32:50Z</dcterms:modified>
</cp:coreProperties>
</file>